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medou/Desktop/"/>
    </mc:Choice>
  </mc:AlternateContent>
  <xr:revisionPtr revIDLastSave="0" documentId="13_ncr:1_{67DE2AA9-D873-A94C-AF61-C684D8F935D5}" xr6:coauthVersionLast="47" xr6:coauthVersionMax="47" xr10:uidLastSave="{00000000-0000-0000-0000-000000000000}"/>
  <bookViews>
    <workbookView xWindow="720" yWindow="800" windowWidth="28680" windowHeight="17160" activeTab="1" xr2:uid="{63023B1B-AF37-D547-B2E3-41B4DF184AAB}"/>
  </bookViews>
  <sheets>
    <sheet name="Calcul production" sheetId="1" r:id="rId1"/>
    <sheet name="Details Capex" sheetId="2" r:id="rId2"/>
    <sheet name="Details Opex" sheetId="3" r:id="rId3"/>
    <sheet name="Details Abe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4" l="1"/>
  <c r="B34" i="4"/>
  <c r="D33" i="4"/>
  <c r="B33" i="4"/>
  <c r="D32" i="4"/>
  <c r="B32" i="4"/>
  <c r="D31" i="4"/>
  <c r="B31" i="4"/>
  <c r="D30" i="4"/>
  <c r="B30" i="4"/>
  <c r="D29" i="4"/>
  <c r="B29" i="4"/>
  <c r="D28" i="4"/>
  <c r="B28" i="4"/>
  <c r="D27" i="4"/>
  <c r="D26" i="4"/>
  <c r="B26" i="4"/>
  <c r="D25" i="4"/>
  <c r="B25" i="4"/>
  <c r="D24" i="4"/>
  <c r="B24" i="4"/>
  <c r="D23" i="4"/>
  <c r="B23" i="4"/>
  <c r="D22" i="4"/>
  <c r="B22" i="4"/>
  <c r="D21" i="4"/>
  <c r="B21" i="4"/>
  <c r="D20" i="4"/>
  <c r="B20" i="4"/>
  <c r="D19" i="4"/>
  <c r="B19" i="4"/>
  <c r="B27" i="4" s="1"/>
  <c r="D18" i="4"/>
  <c r="B18" i="4"/>
  <c r="D17" i="4"/>
  <c r="B17" i="4"/>
  <c r="D16" i="4"/>
  <c r="B16" i="4"/>
  <c r="D15" i="4"/>
  <c r="B15" i="4"/>
  <c r="D14" i="4"/>
  <c r="B14" i="4"/>
  <c r="D13" i="4"/>
  <c r="B13" i="4"/>
  <c r="D12" i="4"/>
  <c r="E12" i="4" s="1"/>
  <c r="F12" i="4" s="1"/>
  <c r="B12" i="4"/>
  <c r="D11" i="4"/>
  <c r="B11" i="4"/>
  <c r="D10" i="4"/>
  <c r="B10" i="4"/>
  <c r="D9" i="4"/>
  <c r="B9" i="4"/>
  <c r="D8" i="4"/>
  <c r="B8" i="4"/>
  <c r="D7" i="4"/>
  <c r="B7" i="4"/>
  <c r="D6" i="4"/>
  <c r="B6" i="4"/>
  <c r="D5" i="4"/>
  <c r="B5" i="4"/>
  <c r="H5" i="3"/>
  <c r="H34" i="3"/>
  <c r="B34" i="3"/>
  <c r="H33" i="3"/>
  <c r="B33" i="3"/>
  <c r="H32" i="3"/>
  <c r="B32" i="3"/>
  <c r="H31" i="3"/>
  <c r="B31" i="3"/>
  <c r="H30" i="3"/>
  <c r="B30" i="3"/>
  <c r="H29" i="3"/>
  <c r="B29" i="3"/>
  <c r="H28" i="3"/>
  <c r="B28" i="3"/>
  <c r="H27" i="3"/>
  <c r="H26" i="3"/>
  <c r="B26" i="3"/>
  <c r="H25" i="3"/>
  <c r="B25" i="3"/>
  <c r="H24" i="3"/>
  <c r="B24" i="3"/>
  <c r="H23" i="3"/>
  <c r="B23" i="3"/>
  <c r="H22" i="3"/>
  <c r="B22" i="3"/>
  <c r="H21" i="3"/>
  <c r="B21" i="3"/>
  <c r="H20" i="3"/>
  <c r="B20" i="3"/>
  <c r="H19" i="3"/>
  <c r="B19" i="3"/>
  <c r="H18" i="3"/>
  <c r="B18" i="3"/>
  <c r="H17" i="3"/>
  <c r="B17" i="3"/>
  <c r="H16" i="3"/>
  <c r="B16" i="3"/>
  <c r="H15" i="3"/>
  <c r="B15" i="3"/>
  <c r="H14" i="3"/>
  <c r="B14" i="3"/>
  <c r="H13" i="3"/>
  <c r="B13" i="3"/>
  <c r="H12" i="3"/>
  <c r="B12" i="3"/>
  <c r="H11" i="3"/>
  <c r="B11" i="3"/>
  <c r="H10" i="3"/>
  <c r="B10" i="3"/>
  <c r="H9" i="3"/>
  <c r="B9" i="3"/>
  <c r="H8" i="3"/>
  <c r="B8" i="3"/>
  <c r="H7" i="3"/>
  <c r="B7" i="3"/>
  <c r="H6" i="3"/>
  <c r="B6" i="3"/>
  <c r="B5" i="3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5" i="2"/>
  <c r="L37" i="2"/>
  <c r="M37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6" i="2"/>
  <c r="L7" i="2"/>
  <c r="L8" i="2"/>
  <c r="L9" i="2"/>
  <c r="L10" i="2"/>
  <c r="L11" i="2"/>
  <c r="L12" i="2"/>
  <c r="L13" i="2"/>
  <c r="L14" i="2"/>
  <c r="L5" i="2"/>
  <c r="K37" i="2"/>
  <c r="C36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B34" i="2"/>
  <c r="B33" i="2"/>
  <c r="B32" i="2"/>
  <c r="B31" i="2"/>
  <c r="B30" i="2"/>
  <c r="B29" i="2"/>
  <c r="B28" i="2"/>
  <c r="B26" i="2"/>
  <c r="B25" i="2"/>
  <c r="B24" i="2"/>
  <c r="B23" i="2"/>
  <c r="B22" i="2"/>
  <c r="B21" i="2"/>
  <c r="B20" i="2"/>
  <c r="B19" i="2"/>
  <c r="B27" i="2" s="1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K3" i="1"/>
  <c r="J3" i="1"/>
  <c r="E4" i="1"/>
  <c r="E3" i="1"/>
  <c r="D38" i="1"/>
  <c r="G4" i="1"/>
  <c r="H4" i="1" s="1"/>
  <c r="G3" i="1"/>
  <c r="H3" i="1" s="1"/>
  <c r="L4" i="1"/>
  <c r="L3" i="1"/>
  <c r="K4" i="1"/>
  <c r="C4" i="1"/>
  <c r="C3" i="1"/>
  <c r="J4" i="1"/>
  <c r="E34" i="4" l="1"/>
  <c r="F34" i="4" s="1"/>
  <c r="E33" i="4"/>
  <c r="F33" i="4" s="1"/>
  <c r="D36" i="4"/>
  <c r="E32" i="4"/>
  <c r="F32" i="4" s="1"/>
  <c r="E31" i="4"/>
  <c r="F31" i="4" s="1"/>
  <c r="E30" i="4"/>
  <c r="F30" i="4" s="1"/>
  <c r="E29" i="4"/>
  <c r="F29" i="4" s="1"/>
  <c r="E28" i="4"/>
  <c r="F28" i="4"/>
  <c r="E27" i="4"/>
  <c r="F27" i="4"/>
  <c r="E26" i="4"/>
  <c r="F26" i="4"/>
  <c r="E25" i="4"/>
  <c r="F25" i="4" s="1"/>
  <c r="E24" i="4"/>
  <c r="F24" i="4"/>
  <c r="E23" i="4"/>
  <c r="F23" i="4" s="1"/>
  <c r="E22" i="4"/>
  <c r="F22" i="4" s="1"/>
  <c r="E21" i="4"/>
  <c r="F21" i="4" s="1"/>
  <c r="E20" i="4"/>
  <c r="F20" i="4" s="1"/>
  <c r="E19" i="4"/>
  <c r="F19" i="4"/>
  <c r="E18" i="4"/>
  <c r="F18" i="4"/>
  <c r="E17" i="4"/>
  <c r="F17" i="4" s="1"/>
  <c r="E16" i="4"/>
  <c r="F16" i="4" s="1"/>
  <c r="E15" i="4"/>
  <c r="F15" i="4"/>
  <c r="E14" i="4"/>
  <c r="F14" i="4" s="1"/>
  <c r="E13" i="4"/>
  <c r="F13" i="4"/>
  <c r="E11" i="4"/>
  <c r="F11" i="4" s="1"/>
  <c r="E10" i="4"/>
  <c r="F10" i="4" s="1"/>
  <c r="E9" i="4"/>
  <c r="F9" i="4"/>
  <c r="E8" i="4"/>
  <c r="F8" i="4"/>
  <c r="E7" i="4"/>
  <c r="F7" i="4"/>
  <c r="E6" i="4"/>
  <c r="F6" i="4" s="1"/>
  <c r="E5" i="4"/>
  <c r="F5" i="4" s="1"/>
  <c r="B27" i="3"/>
  <c r="I27" i="3" s="1"/>
  <c r="J27" i="3" s="1"/>
  <c r="I34" i="3"/>
  <c r="J34" i="3" s="1"/>
  <c r="I33" i="3"/>
  <c r="J33" i="3"/>
  <c r="I32" i="3"/>
  <c r="J32" i="3"/>
  <c r="I31" i="3"/>
  <c r="J31" i="3"/>
  <c r="I30" i="3"/>
  <c r="J30" i="3"/>
  <c r="I29" i="3"/>
  <c r="J29" i="3" s="1"/>
  <c r="I28" i="3"/>
  <c r="J28" i="3"/>
  <c r="I26" i="3"/>
  <c r="J26" i="3" s="1"/>
  <c r="I25" i="3"/>
  <c r="J25" i="3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/>
  <c r="I17" i="3"/>
  <c r="J17" i="3" s="1"/>
  <c r="I16" i="3"/>
  <c r="J16" i="3" s="1"/>
  <c r="I15" i="3"/>
  <c r="J15" i="3" s="1"/>
  <c r="I14" i="3"/>
  <c r="J14" i="3" s="1"/>
  <c r="I13" i="3"/>
  <c r="J13" i="3"/>
  <c r="I12" i="3"/>
  <c r="J12" i="3" s="1"/>
  <c r="I11" i="3"/>
  <c r="J11" i="3" s="1"/>
  <c r="I10" i="3"/>
  <c r="J10" i="3"/>
  <c r="I9" i="3"/>
  <c r="J9" i="3" s="1"/>
  <c r="I8" i="3"/>
  <c r="J8" i="3" s="1"/>
  <c r="I7" i="3"/>
  <c r="J7" i="3" s="1"/>
  <c r="I6" i="3"/>
  <c r="J6" i="3" s="1"/>
  <c r="I5" i="3"/>
  <c r="H36" i="3"/>
  <c r="E36" i="4" l="1"/>
  <c r="F36" i="4"/>
  <c r="I36" i="3"/>
  <c r="J5" i="3"/>
  <c r="J36" i="3" s="1"/>
</calcChain>
</file>

<file path=xl/sharedStrings.xml><?xml version="1.0" encoding="utf-8"?>
<sst xmlns="http://schemas.openxmlformats.org/spreadsheetml/2006/main" count="90" uniqueCount="84">
  <si>
    <t>An 1</t>
  </si>
  <si>
    <t>An 2</t>
  </si>
  <si>
    <t>An 3</t>
  </si>
  <si>
    <t>An 4</t>
  </si>
  <si>
    <t>An 5</t>
  </si>
  <si>
    <t>An 6</t>
  </si>
  <si>
    <t>An 7</t>
  </si>
  <si>
    <t>An 8</t>
  </si>
  <si>
    <t>An 9</t>
  </si>
  <si>
    <t>An 10</t>
  </si>
  <si>
    <t>An 11</t>
  </si>
  <si>
    <t>An 12</t>
  </si>
  <si>
    <t>An 13</t>
  </si>
  <si>
    <t>An 14</t>
  </si>
  <si>
    <t>An 15</t>
  </si>
  <si>
    <t>An 16</t>
  </si>
  <si>
    <t>An 17</t>
  </si>
  <si>
    <t>An 18</t>
  </si>
  <si>
    <t>An 19</t>
  </si>
  <si>
    <t>An 20</t>
  </si>
  <si>
    <t>An 21</t>
  </si>
  <si>
    <t>An 22</t>
  </si>
  <si>
    <t>An 23</t>
  </si>
  <si>
    <t>An 24</t>
  </si>
  <si>
    <t>An 25</t>
  </si>
  <si>
    <t>Production gaz domestique (mmscf/jour)</t>
  </si>
  <si>
    <t>Production gaz domestique (Tbtu/an)</t>
  </si>
  <si>
    <t>Production GNL (mmscf/jour)</t>
  </si>
  <si>
    <t>Production GNL (Tbtu/an)</t>
  </si>
  <si>
    <t>Production GNL (MTPA)</t>
  </si>
  <si>
    <t>Production Total de Gaz naturel (mmscf/jour)</t>
  </si>
  <si>
    <t>boe conversion from scf mmscf/mboe</t>
  </si>
  <si>
    <t>Production Petrole/Condensat (mbaril/jour)</t>
  </si>
  <si>
    <t>Production total hydrocarbures equivalent petrole (mbarils/jour)</t>
  </si>
  <si>
    <t>m</t>
  </si>
  <si>
    <t>mm</t>
  </si>
  <si>
    <t>Production Petrole/Condensat (mmbarils/an)</t>
  </si>
  <si>
    <t>An 26</t>
  </si>
  <si>
    <t>An 27</t>
  </si>
  <si>
    <t>An 28</t>
  </si>
  <si>
    <t>An 29</t>
  </si>
  <si>
    <t>An 30</t>
  </si>
  <si>
    <t>Couts Exploration (millions USD)</t>
  </si>
  <si>
    <t>Etudes Pre-FID (millions USD)</t>
  </si>
  <si>
    <t>Forage et completion de puits de developpement (millions USD)</t>
  </si>
  <si>
    <t>Pipeline(s) (millions USD)</t>
  </si>
  <si>
    <t>Installations sous marines (millions USD)</t>
  </si>
  <si>
    <t>Installations de surface (millions USD)</t>
  </si>
  <si>
    <t>Owners Cost (millions USD)</t>
  </si>
  <si>
    <t>Imprevus (millions USD)</t>
  </si>
  <si>
    <t>Couts Totaux sans inflation (millions USD)</t>
  </si>
  <si>
    <t>Inflation (%)</t>
  </si>
  <si>
    <t>LNG conversion rate mmscfd/Mtpa</t>
  </si>
  <si>
    <t>Gas heating value mmbtu/T</t>
  </si>
  <si>
    <t>Gas Heating value mmbtu/scf : LNG / Domgas</t>
  </si>
  <si>
    <t>Annee</t>
  </si>
  <si>
    <t>millions cubic feet</t>
  </si>
  <si>
    <t>mmscf</t>
  </si>
  <si>
    <t>Tbtu</t>
  </si>
  <si>
    <t>Trillions British Termal Unit</t>
  </si>
  <si>
    <t>MPTA</t>
  </si>
  <si>
    <t>Millions de tonnes par an</t>
  </si>
  <si>
    <t>Gaz pour combustible, pertes (mmscf/jour)</t>
  </si>
  <si>
    <t>Production total hydrocarbures equivalent petrole hors comb/pertes (mbarils/jour)</t>
  </si>
  <si>
    <t>Abbreviations</t>
  </si>
  <si>
    <t>Unites de conversion</t>
  </si>
  <si>
    <t>mille</t>
  </si>
  <si>
    <t>millions</t>
  </si>
  <si>
    <t>Couts Totaux avec inflation (millions USD)</t>
  </si>
  <si>
    <t>Inflation (millions USD)</t>
  </si>
  <si>
    <t>Cout total Exploration</t>
  </si>
  <si>
    <t>Cout total developpement</t>
  </si>
  <si>
    <t>Location FLNG (millions USD)</t>
  </si>
  <si>
    <t>Location FPSO (millions USD)</t>
  </si>
  <si>
    <t>Opex puits (millions USD)</t>
  </si>
  <si>
    <t>Opex - maintenance installations (millions USD)</t>
  </si>
  <si>
    <t>Autres Opex (millions USD)</t>
  </si>
  <si>
    <t>Total Opex sans inflation (millions USD)</t>
  </si>
  <si>
    <t>Total Opex avec inflation (millions USD)</t>
  </si>
  <si>
    <t>Total Abex sans inflation (millions USD)</t>
  </si>
  <si>
    <t>Total Abex avec inflation (millions USD)</t>
  </si>
  <si>
    <t>Cout d abandon (Abex) (millions USD)</t>
  </si>
  <si>
    <t>Total Opex</t>
  </si>
  <si>
    <t>Total Abex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</si>
</sst>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rgb="FF1643DC"/>
      <name val="Tahoma"/>
      <family val="2"/>
    </font>
    <font>
      <b/>
      <sz val="11"/>
      <color theme="9" tint="-0.249977111117893"/>
      <name val="Tahoma"/>
      <family val="2"/>
    </font>
    <font>
      <sz val="12"/>
      <color theme="1"/>
      <name val="Aptos Narrow"/>
      <family val="2"/>
      <scheme val="minor"/>
    </font>
    <font>
      <sz val="10"/>
      <color theme="1"/>
      <name val="Tahoma"/>
      <family val="2"/>
    </font>
    <font>
      <sz val="10"/>
      <color rgb="FF1643DC"/>
      <name val="Tahoma"/>
      <family val="2"/>
    </font>
    <font>
      <sz val="11"/>
      <color theme="1"/>
      <name val="Arial"/>
      <family val="2"/>
    </font>
    <font>
      <b/>
      <i/>
      <sz val="11"/>
      <color theme="1"/>
      <name val="Tahoma"/>
      <family val="2"/>
    </font>
    <font>
      <i/>
      <sz val="12"/>
      <color theme="1"/>
      <name val="Aptos Narrow"/>
      <family val="2"/>
      <scheme val="minor"/>
    </font>
    <font>
      <i/>
      <sz val="11"/>
      <color theme="1"/>
      <name val="Tahoma"/>
      <family val="2"/>
    </font>
    <font>
      <i/>
      <sz val="11"/>
      <color theme="1"/>
      <name val="Arial"/>
      <family val="2"/>
    </font>
    <font>
      <b/>
      <sz val="10"/>
      <color theme="1"/>
      <name val="Tahoma"/>
      <family val="2"/>
    </font>
    <font>
      <b/>
      <sz val="10"/>
      <color rgb="FF1643DC"/>
      <name val="Tahoma"/>
      <family val="2"/>
    </font>
    <font>
      <b/>
      <sz val="10"/>
      <color rgb="FF1643DC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vertical="center"/>
    </xf>
    <xf numFmtId="1" fontId="9" fillId="0" borderId="0" xfId="1" applyNumberFormat="1" applyFont="1" applyFill="1" applyBorder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/>
      <protection locked="0"/>
    </xf>
    <xf numFmtId="4" fontId="4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9" fontId="7" fillId="2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165" fontId="12" fillId="0" borderId="0" xfId="0" applyNumberFormat="1" applyFont="1" applyAlignment="1">
      <alignment horizontal="right" vertical="center"/>
    </xf>
    <xf numFmtId="0" fontId="12" fillId="0" borderId="0" xfId="0" applyFont="1" applyAlignment="1" applyProtection="1">
      <alignment horizontal="left"/>
      <protection locked="0"/>
    </xf>
    <xf numFmtId="1" fontId="13" fillId="0" borderId="0" xfId="1" applyNumberFormat="1" applyFont="1" applyFill="1" applyBorder="1" applyAlignment="1" applyProtection="1">
      <alignment horizontal="right" vertical="top"/>
      <protection locked="0"/>
    </xf>
    <xf numFmtId="3" fontId="1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3" fontId="16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>
      <alignment horizontal="center" vertical="center" wrapText="1"/>
    </xf>
    <xf numFmtId="3" fontId="14" fillId="0" borderId="0" xfId="0" applyNumberFormat="1" applyFont="1" applyAlignment="1">
      <alignment vertical="center"/>
    </xf>
    <xf numFmtId="3" fontId="7" fillId="2" borderId="0" xfId="0" applyNumberFormat="1" applyFont="1" applyFill="1" applyAlignment="1">
      <alignment vertical="center"/>
    </xf>
    <xf numFmtId="3" fontId="8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7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1643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9935-3916-8148-A5A1-9774163508AE}">
  <dimension ref="A2:L45"/>
  <sheetViews>
    <sheetView zoomScale="160" zoomScaleNormal="160" workbookViewId="0">
      <selection activeCell="I3" sqref="I3:I32"/>
    </sheetView>
  </sheetViews>
  <sheetFormatPr baseColWidth="10" defaultRowHeight="14" x14ac:dyDescent="0.2"/>
  <cols>
    <col min="1" max="1" width="7.33203125" style="1" customWidth="1"/>
    <col min="2" max="2" width="16.6640625" style="1" customWidth="1"/>
    <col min="3" max="3" width="17.83203125" style="1" customWidth="1"/>
    <col min="4" max="5" width="13.83203125" style="1" customWidth="1"/>
    <col min="6" max="6" width="14" style="1" customWidth="1"/>
    <col min="7" max="7" width="13.6640625" style="1" customWidth="1"/>
    <col min="8" max="8" width="14" style="1" customWidth="1"/>
    <col min="9" max="9" width="13" style="1" customWidth="1"/>
    <col min="10" max="10" width="13.83203125" style="1" customWidth="1"/>
    <col min="11" max="11" width="17.83203125" style="1" customWidth="1"/>
    <col min="12" max="12" width="19.1640625" style="1" customWidth="1"/>
    <col min="13" max="16384" width="10.83203125" style="1"/>
  </cols>
  <sheetData>
    <row r="2" spans="1:12" ht="84" customHeight="1" x14ac:dyDescent="0.2">
      <c r="B2" s="2" t="s">
        <v>32</v>
      </c>
      <c r="C2" s="8" t="s">
        <v>36</v>
      </c>
      <c r="D2" s="2" t="s">
        <v>25</v>
      </c>
      <c r="E2" s="8" t="s">
        <v>26</v>
      </c>
      <c r="F2" s="2" t="s">
        <v>27</v>
      </c>
      <c r="G2" s="2" t="s">
        <v>29</v>
      </c>
      <c r="H2" s="8" t="s">
        <v>28</v>
      </c>
      <c r="I2" s="2" t="s">
        <v>62</v>
      </c>
      <c r="J2" s="5" t="s">
        <v>30</v>
      </c>
      <c r="K2" s="5" t="s">
        <v>33</v>
      </c>
      <c r="L2" s="10" t="s">
        <v>63</v>
      </c>
    </row>
    <row r="3" spans="1:12" x14ac:dyDescent="0.2">
      <c r="A3" s="1" t="s">
        <v>0</v>
      </c>
      <c r="B3" s="37">
        <v>3</v>
      </c>
      <c r="C3" s="9">
        <f>(B3*365)/1000</f>
        <v>1.095</v>
      </c>
      <c r="D3" s="37">
        <v>300</v>
      </c>
      <c r="E3" s="17">
        <f>D3*(365/1000)*(1065/1000)</f>
        <v>116.61749999999999</v>
      </c>
      <c r="F3" s="37">
        <v>300</v>
      </c>
      <c r="G3" s="4">
        <f>F3/142</f>
        <v>2.112676056338028</v>
      </c>
      <c r="H3" s="9">
        <f>G3*52.225</f>
        <v>110.33450704225352</v>
      </c>
      <c r="I3" s="38">
        <v>5</v>
      </c>
      <c r="J3" s="6">
        <f>D3+F3+I3</f>
        <v>605</v>
      </c>
      <c r="K3" s="7">
        <f>B3+(D3+F3+I3)/5.8</f>
        <v>107.31034482758621</v>
      </c>
      <c r="L3" s="11">
        <f>B3+(D3+F3)/5.8</f>
        <v>106.44827586206897</v>
      </c>
    </row>
    <row r="4" spans="1:12" x14ac:dyDescent="0.2">
      <c r="A4" s="1" t="s">
        <v>1</v>
      </c>
      <c r="B4" s="37">
        <v>2</v>
      </c>
      <c r="C4" s="9">
        <f>(B4*365)/1000</f>
        <v>0.73</v>
      </c>
      <c r="D4" s="37">
        <v>250</v>
      </c>
      <c r="E4" s="17">
        <f>D4*(365/1000)*(1065/1000)</f>
        <v>97.181249999999991</v>
      </c>
      <c r="F4" s="37">
        <v>250</v>
      </c>
      <c r="G4" s="4">
        <f>F4/142</f>
        <v>1.7605633802816902</v>
      </c>
      <c r="H4" s="9">
        <f>G4*52.225</f>
        <v>91.945422535211279</v>
      </c>
      <c r="I4" s="38">
        <v>4</v>
      </c>
      <c r="J4" s="6">
        <f>D4+F4+I4</f>
        <v>504</v>
      </c>
      <c r="K4" s="7">
        <f>B4+(D4+F4+I4)/5.8</f>
        <v>88.896551724137936</v>
      </c>
      <c r="L4" s="11">
        <f>B4+(D4+F4)/5.8</f>
        <v>88.206896551724142</v>
      </c>
    </row>
    <row r="5" spans="1:12" x14ac:dyDescent="0.2">
      <c r="A5" s="1" t="s">
        <v>2</v>
      </c>
      <c r="B5" s="37"/>
      <c r="C5" s="3"/>
      <c r="D5" s="37"/>
      <c r="E5" s="3"/>
      <c r="F5" s="37"/>
      <c r="G5" s="3"/>
      <c r="H5" s="3"/>
      <c r="I5" s="38"/>
    </row>
    <row r="6" spans="1:12" x14ac:dyDescent="0.2">
      <c r="A6" s="1" t="s">
        <v>3</v>
      </c>
      <c r="B6" s="37"/>
      <c r="C6" s="3"/>
      <c r="D6" s="37"/>
      <c r="E6" s="3"/>
      <c r="F6" s="37"/>
      <c r="G6" s="3"/>
      <c r="H6" s="3"/>
      <c r="I6" s="38"/>
    </row>
    <row r="7" spans="1:12" x14ac:dyDescent="0.2">
      <c r="A7" s="1" t="s">
        <v>4</v>
      </c>
      <c r="B7" s="37"/>
      <c r="C7" s="3"/>
      <c r="D7" s="37"/>
      <c r="E7" s="3"/>
      <c r="F7" s="37"/>
      <c r="G7" s="3"/>
      <c r="H7" s="3"/>
      <c r="I7" s="38"/>
    </row>
    <row r="8" spans="1:12" x14ac:dyDescent="0.2">
      <c r="A8" s="1" t="s">
        <v>5</v>
      </c>
      <c r="B8" s="37"/>
      <c r="C8" s="3"/>
      <c r="D8" s="37"/>
      <c r="E8" s="3"/>
      <c r="F8" s="37"/>
      <c r="G8" s="3"/>
      <c r="H8" s="3"/>
      <c r="I8" s="38"/>
    </row>
    <row r="9" spans="1:12" x14ac:dyDescent="0.2">
      <c r="A9" s="1" t="s">
        <v>6</v>
      </c>
      <c r="B9" s="37"/>
      <c r="C9" s="3"/>
      <c r="D9" s="37"/>
      <c r="E9" s="3"/>
      <c r="F9" s="37"/>
      <c r="G9" s="3"/>
      <c r="H9" s="3"/>
      <c r="I9" s="38"/>
    </row>
    <row r="10" spans="1:12" x14ac:dyDescent="0.2">
      <c r="A10" s="1" t="s">
        <v>7</v>
      </c>
      <c r="B10" s="37"/>
      <c r="C10" s="3"/>
      <c r="D10" s="37"/>
      <c r="E10" s="3"/>
      <c r="F10" s="37"/>
      <c r="G10" s="3"/>
      <c r="H10" s="3"/>
      <c r="I10" s="38"/>
    </row>
    <row r="11" spans="1:12" x14ac:dyDescent="0.2">
      <c r="A11" s="1" t="s">
        <v>8</v>
      </c>
      <c r="B11" s="37"/>
      <c r="C11" s="3"/>
      <c r="D11" s="37"/>
      <c r="E11" s="3"/>
      <c r="F11" s="37"/>
      <c r="G11" s="3"/>
      <c r="H11" s="3"/>
      <c r="I11" s="38"/>
    </row>
    <row r="12" spans="1:12" x14ac:dyDescent="0.2">
      <c r="A12" s="1" t="s">
        <v>9</v>
      </c>
      <c r="B12" s="37"/>
      <c r="C12" s="3"/>
      <c r="D12" s="37"/>
      <c r="E12" s="3"/>
      <c r="F12" s="37"/>
      <c r="G12" s="3"/>
      <c r="H12" s="3"/>
      <c r="I12" s="38"/>
    </row>
    <row r="13" spans="1:12" x14ac:dyDescent="0.2">
      <c r="A13" s="1" t="s">
        <v>10</v>
      </c>
      <c r="B13" s="37"/>
      <c r="C13" s="3"/>
      <c r="D13" s="37"/>
      <c r="E13" s="3"/>
      <c r="F13" s="37"/>
      <c r="G13" s="3"/>
      <c r="H13" s="3"/>
      <c r="I13" s="38"/>
    </row>
    <row r="14" spans="1:12" x14ac:dyDescent="0.2">
      <c r="A14" s="1" t="s">
        <v>11</v>
      </c>
      <c r="B14" s="37"/>
      <c r="C14" s="3"/>
      <c r="D14" s="37"/>
      <c r="E14" s="3"/>
      <c r="F14" s="37"/>
      <c r="G14" s="3"/>
      <c r="H14" s="3"/>
      <c r="I14" s="38"/>
    </row>
    <row r="15" spans="1:12" x14ac:dyDescent="0.2">
      <c r="A15" s="1" t="s">
        <v>12</v>
      </c>
      <c r="B15" s="37"/>
      <c r="C15" s="3"/>
      <c r="D15" s="37"/>
      <c r="E15" s="3"/>
      <c r="F15" s="37"/>
      <c r="G15" s="3"/>
      <c r="H15" s="3"/>
      <c r="I15" s="38"/>
    </row>
    <row r="16" spans="1:12" x14ac:dyDescent="0.2">
      <c r="A16" s="1" t="s">
        <v>13</v>
      </c>
      <c r="B16" s="37"/>
      <c r="C16" s="3"/>
      <c r="D16" s="37"/>
      <c r="E16" s="3"/>
      <c r="F16" s="37"/>
      <c r="G16" s="3"/>
      <c r="H16" s="3"/>
      <c r="I16" s="38"/>
    </row>
    <row r="17" spans="1:9" x14ac:dyDescent="0.2">
      <c r="A17" s="1" t="s">
        <v>14</v>
      </c>
      <c r="B17" s="37"/>
      <c r="C17" s="3"/>
      <c r="D17" s="37"/>
      <c r="E17" s="3"/>
      <c r="F17" s="37"/>
      <c r="G17" s="3"/>
      <c r="H17" s="3"/>
      <c r="I17" s="38"/>
    </row>
    <row r="18" spans="1:9" x14ac:dyDescent="0.2">
      <c r="A18" s="1" t="s">
        <v>15</v>
      </c>
      <c r="B18" s="37"/>
      <c r="C18" s="3"/>
      <c r="D18" s="37"/>
      <c r="E18" s="3"/>
      <c r="F18" s="37"/>
      <c r="G18" s="3"/>
      <c r="H18" s="3"/>
      <c r="I18" s="38"/>
    </row>
    <row r="19" spans="1:9" x14ac:dyDescent="0.2">
      <c r="A19" s="1" t="s">
        <v>16</v>
      </c>
      <c r="B19" s="37"/>
      <c r="C19" s="3"/>
      <c r="D19" s="37"/>
      <c r="E19" s="3"/>
      <c r="F19" s="37"/>
      <c r="G19" s="3"/>
      <c r="H19" s="3"/>
      <c r="I19" s="38"/>
    </row>
    <row r="20" spans="1:9" x14ac:dyDescent="0.2">
      <c r="A20" s="1" t="s">
        <v>17</v>
      </c>
      <c r="B20" s="37"/>
      <c r="C20" s="3"/>
      <c r="D20" s="37"/>
      <c r="E20" s="3"/>
      <c r="F20" s="37"/>
      <c r="G20" s="3"/>
      <c r="H20" s="3"/>
      <c r="I20" s="38"/>
    </row>
    <row r="21" spans="1:9" x14ac:dyDescent="0.2">
      <c r="A21" s="1" t="s">
        <v>18</v>
      </c>
      <c r="B21" s="37"/>
      <c r="C21" s="3"/>
      <c r="D21" s="37"/>
      <c r="E21" s="3"/>
      <c r="F21" s="37"/>
      <c r="G21" s="3"/>
      <c r="H21" s="3"/>
      <c r="I21" s="38"/>
    </row>
    <row r="22" spans="1:9" x14ac:dyDescent="0.2">
      <c r="A22" s="1" t="s">
        <v>19</v>
      </c>
      <c r="B22" s="37"/>
      <c r="C22" s="3"/>
      <c r="D22" s="37"/>
      <c r="E22" s="3"/>
      <c r="F22" s="37"/>
      <c r="G22" s="3"/>
      <c r="H22" s="3"/>
      <c r="I22" s="38"/>
    </row>
    <row r="23" spans="1:9" x14ac:dyDescent="0.2">
      <c r="A23" s="1" t="s">
        <v>20</v>
      </c>
      <c r="B23" s="37"/>
      <c r="C23" s="3"/>
      <c r="D23" s="37"/>
      <c r="E23" s="3"/>
      <c r="F23" s="37"/>
      <c r="G23" s="3"/>
      <c r="H23" s="3"/>
      <c r="I23" s="38"/>
    </row>
    <row r="24" spans="1:9" x14ac:dyDescent="0.2">
      <c r="A24" s="1" t="s">
        <v>21</v>
      </c>
      <c r="B24" s="37"/>
      <c r="C24" s="3"/>
      <c r="D24" s="37"/>
      <c r="E24" s="3"/>
      <c r="F24" s="37"/>
      <c r="G24" s="3"/>
      <c r="H24" s="3"/>
      <c r="I24" s="38"/>
    </row>
    <row r="25" spans="1:9" x14ac:dyDescent="0.2">
      <c r="A25" s="1" t="s">
        <v>22</v>
      </c>
      <c r="B25" s="37"/>
      <c r="C25" s="3"/>
      <c r="D25" s="37"/>
      <c r="E25" s="3"/>
      <c r="F25" s="37"/>
      <c r="G25" s="3"/>
      <c r="H25" s="3"/>
      <c r="I25" s="38"/>
    </row>
    <row r="26" spans="1:9" x14ac:dyDescent="0.2">
      <c r="A26" s="1" t="s">
        <v>23</v>
      </c>
      <c r="B26" s="37"/>
      <c r="C26" s="3"/>
      <c r="D26" s="37"/>
      <c r="E26" s="3"/>
      <c r="F26" s="37"/>
      <c r="G26" s="3"/>
      <c r="H26" s="3"/>
      <c r="I26" s="38"/>
    </row>
    <row r="27" spans="1:9" x14ac:dyDescent="0.2">
      <c r="A27" s="1" t="s">
        <v>24</v>
      </c>
      <c r="B27" s="37"/>
      <c r="C27" s="3"/>
      <c r="D27" s="37"/>
      <c r="E27" s="3"/>
      <c r="F27" s="37"/>
      <c r="G27" s="3"/>
      <c r="H27" s="3"/>
      <c r="I27" s="38"/>
    </row>
    <row r="28" spans="1:9" x14ac:dyDescent="0.2">
      <c r="A28" s="1" t="s">
        <v>37</v>
      </c>
      <c r="B28" s="37"/>
      <c r="C28" s="3"/>
      <c r="D28" s="37"/>
      <c r="E28" s="3"/>
      <c r="F28" s="37"/>
      <c r="G28" s="3"/>
      <c r="H28" s="3"/>
      <c r="I28" s="38"/>
    </row>
    <row r="29" spans="1:9" x14ac:dyDescent="0.2">
      <c r="A29" s="1" t="s">
        <v>38</v>
      </c>
      <c r="B29" s="37"/>
      <c r="C29" s="3"/>
      <c r="D29" s="37"/>
      <c r="E29" s="3"/>
      <c r="F29" s="37"/>
      <c r="G29" s="3"/>
      <c r="H29" s="3"/>
      <c r="I29" s="38"/>
    </row>
    <row r="30" spans="1:9" x14ac:dyDescent="0.2">
      <c r="A30" s="1" t="s">
        <v>39</v>
      </c>
      <c r="B30" s="37"/>
      <c r="C30" s="3"/>
      <c r="D30" s="37"/>
      <c r="E30" s="3"/>
      <c r="F30" s="37"/>
      <c r="G30" s="3"/>
      <c r="H30" s="3"/>
      <c r="I30" s="38"/>
    </row>
    <row r="31" spans="1:9" x14ac:dyDescent="0.2">
      <c r="A31" s="1" t="s">
        <v>40</v>
      </c>
      <c r="B31" s="37"/>
      <c r="C31" s="3"/>
      <c r="D31" s="37"/>
      <c r="E31" s="3"/>
      <c r="F31" s="37"/>
      <c r="G31" s="3"/>
      <c r="H31" s="3"/>
      <c r="I31" s="38"/>
    </row>
    <row r="32" spans="1:9" x14ac:dyDescent="0.2">
      <c r="A32" s="1" t="s">
        <v>41</v>
      </c>
      <c r="B32" s="37"/>
      <c r="C32" s="3"/>
      <c r="D32" s="37"/>
      <c r="E32" s="3"/>
      <c r="F32" s="37"/>
      <c r="G32" s="3"/>
      <c r="H32" s="3"/>
      <c r="I32" s="38"/>
    </row>
    <row r="33" spans="1:8" x14ac:dyDescent="0.2">
      <c r="B33" s="3"/>
      <c r="C33" s="3"/>
      <c r="D33" s="3"/>
      <c r="E33" s="3"/>
      <c r="F33" s="3"/>
      <c r="G33" s="3"/>
      <c r="H33" s="3"/>
    </row>
    <row r="34" spans="1:8" x14ac:dyDescent="0.2">
      <c r="A34" s="22" t="s">
        <v>65</v>
      </c>
      <c r="B34" s="3"/>
      <c r="C34" s="3"/>
      <c r="D34" s="3"/>
      <c r="E34" s="3"/>
      <c r="F34" s="3"/>
      <c r="G34" s="3"/>
      <c r="H34" s="3"/>
    </row>
    <row r="35" spans="1:8" s="25" customFormat="1" ht="16" x14ac:dyDescent="0.2">
      <c r="A35" s="24" t="s">
        <v>31</v>
      </c>
      <c r="D35" s="26">
        <v>5.8</v>
      </c>
    </row>
    <row r="36" spans="1:8" s="25" customFormat="1" x14ac:dyDescent="0.15">
      <c r="A36" s="27" t="s">
        <v>52</v>
      </c>
      <c r="D36" s="28">
        <v>142.00819672131149</v>
      </c>
    </row>
    <row r="37" spans="1:8" s="25" customFormat="1" x14ac:dyDescent="0.15">
      <c r="A37" s="27" t="s">
        <v>53</v>
      </c>
      <c r="D37" s="28">
        <v>52.225000000000001</v>
      </c>
    </row>
    <row r="38" spans="1:8" s="25" customFormat="1" x14ac:dyDescent="0.15">
      <c r="A38" s="27" t="s">
        <v>54</v>
      </c>
      <c r="D38" s="28">
        <f>D37/D36/0.36525*1000</f>
        <v>1006.8732697069452</v>
      </c>
      <c r="E38" s="25">
        <v>1065</v>
      </c>
    </row>
    <row r="39" spans="1:8" x14ac:dyDescent="0.15">
      <c r="A39" s="16"/>
      <c r="D39" s="15"/>
    </row>
    <row r="40" spans="1:8" x14ac:dyDescent="0.15">
      <c r="A40" s="23" t="s">
        <v>64</v>
      </c>
      <c r="D40" s="15"/>
    </row>
    <row r="41" spans="1:8" s="25" customFormat="1" x14ac:dyDescent="0.2">
      <c r="A41" s="25" t="s">
        <v>34</v>
      </c>
      <c r="B41" s="25" t="s">
        <v>66</v>
      </c>
      <c r="D41" s="29"/>
    </row>
    <row r="42" spans="1:8" s="25" customFormat="1" x14ac:dyDescent="0.2">
      <c r="A42" s="25" t="s">
        <v>35</v>
      </c>
      <c r="B42" s="25" t="s">
        <v>67</v>
      </c>
      <c r="D42" s="29"/>
    </row>
    <row r="43" spans="1:8" s="25" customFormat="1" x14ac:dyDescent="0.2">
      <c r="A43" s="25" t="s">
        <v>57</v>
      </c>
      <c r="B43" s="25" t="s">
        <v>56</v>
      </c>
    </row>
    <row r="44" spans="1:8" s="25" customFormat="1" x14ac:dyDescent="0.2">
      <c r="A44" s="25" t="s">
        <v>58</v>
      </c>
      <c r="B44" s="25" t="s">
        <v>59</v>
      </c>
    </row>
    <row r="45" spans="1:8" s="25" customFormat="1" x14ac:dyDescent="0.2">
      <c r="A45" s="25" t="s">
        <v>60</v>
      </c>
      <c r="B45" s="25" t="s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00EA-F5D1-2A4B-9F43-C5DBD323AC9F}">
  <dimension ref="A2:M38"/>
  <sheetViews>
    <sheetView tabSelected="1" zoomScale="160" zoomScaleNormal="160" workbookViewId="0">
      <selection activeCell="D3" sqref="D3"/>
    </sheetView>
  </sheetViews>
  <sheetFormatPr baseColWidth="10" defaultRowHeight="13" x14ac:dyDescent="0.2"/>
  <cols>
    <col min="1" max="1" width="7.33203125" style="20" customWidth="1"/>
    <col min="2" max="2" width="7.33203125" style="12" customWidth="1"/>
    <col min="3" max="3" width="13" style="12" customWidth="1"/>
    <col min="4" max="4" width="13.5" style="12" customWidth="1"/>
    <col min="5" max="5" width="15.83203125" style="12" customWidth="1"/>
    <col min="6" max="6" width="13.83203125" style="12" customWidth="1"/>
    <col min="7" max="7" width="12.5" style="12" customWidth="1"/>
    <col min="8" max="8" width="13.6640625" style="12" customWidth="1"/>
    <col min="9" max="10" width="12" style="12" customWidth="1"/>
    <col min="11" max="12" width="12.6640625" style="12" customWidth="1"/>
    <col min="13" max="13" width="11.5" style="12" customWidth="1"/>
    <col min="14" max="16384" width="10.83203125" style="12"/>
  </cols>
  <sheetData>
    <row r="2" spans="1:13" ht="75" customHeight="1" x14ac:dyDescent="0.2">
      <c r="B2" s="13" t="s">
        <v>51</v>
      </c>
      <c r="C2" s="33" t="s">
        <v>42</v>
      </c>
      <c r="D2" s="13" t="s">
        <v>43</v>
      </c>
      <c r="E2" s="13" t="s">
        <v>44</v>
      </c>
      <c r="F2" s="13" t="s">
        <v>46</v>
      </c>
      <c r="G2" s="13" t="s">
        <v>45</v>
      </c>
      <c r="H2" s="13" t="s">
        <v>47</v>
      </c>
      <c r="I2" s="13" t="s">
        <v>48</v>
      </c>
      <c r="J2" s="13" t="s">
        <v>49</v>
      </c>
      <c r="K2" s="13" t="s">
        <v>50</v>
      </c>
      <c r="L2" s="13" t="s">
        <v>69</v>
      </c>
      <c r="M2" s="13" t="s">
        <v>68</v>
      </c>
    </row>
    <row r="3" spans="1:13" ht="15" customHeight="1" x14ac:dyDescent="0.2">
      <c r="B3" s="19">
        <v>0.02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" customHeight="1" x14ac:dyDescent="0.2">
      <c r="A4" s="20" t="s">
        <v>55</v>
      </c>
      <c r="B4" s="21">
        <v>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2">
      <c r="A5" s="20">
        <v>1</v>
      </c>
      <c r="B5" s="18">
        <f>IF((A5&gt;=B4),B3,0)</f>
        <v>0</v>
      </c>
      <c r="C5" s="35"/>
      <c r="D5" s="36"/>
      <c r="E5" s="35"/>
      <c r="F5" s="36"/>
      <c r="G5" s="35"/>
      <c r="H5" s="35"/>
      <c r="I5" s="35"/>
      <c r="J5" s="35"/>
      <c r="K5" s="13">
        <f t="shared" ref="K4:K34" si="0">SUM(C5:J5)</f>
        <v>0</v>
      </c>
      <c r="L5" s="14">
        <f>K5*B5</f>
        <v>0</v>
      </c>
      <c r="M5" s="14">
        <f>K5+L5</f>
        <v>0</v>
      </c>
    </row>
    <row r="6" spans="1:13" x14ac:dyDescent="0.2">
      <c r="A6" s="20">
        <v>2</v>
      </c>
      <c r="B6" s="18">
        <f>IF((A6&gt;=B4),B3,0)</f>
        <v>0</v>
      </c>
      <c r="C6" s="35"/>
      <c r="D6" s="36"/>
      <c r="E6" s="35"/>
      <c r="F6" s="36"/>
      <c r="G6" s="35"/>
      <c r="H6" s="35"/>
      <c r="I6" s="35"/>
      <c r="J6" s="35"/>
      <c r="K6" s="13">
        <f t="shared" si="0"/>
        <v>0</v>
      </c>
      <c r="L6" s="14">
        <f t="shared" ref="L6:L34" si="1">K6*B6</f>
        <v>0</v>
      </c>
      <c r="M6" s="14">
        <f t="shared" ref="M6:M34" si="2">K6+L6</f>
        <v>0</v>
      </c>
    </row>
    <row r="7" spans="1:13" x14ac:dyDescent="0.2">
      <c r="A7" s="20">
        <v>3</v>
      </c>
      <c r="B7" s="18">
        <f>IF((A7&gt;=B4),B3,0)</f>
        <v>0</v>
      </c>
      <c r="C7" s="35"/>
      <c r="D7" s="35"/>
      <c r="E7" s="35"/>
      <c r="F7" s="35"/>
      <c r="G7" s="35"/>
      <c r="H7" s="35"/>
      <c r="I7" s="35"/>
      <c r="J7" s="35"/>
      <c r="K7" s="13">
        <f t="shared" si="0"/>
        <v>0</v>
      </c>
      <c r="L7" s="14">
        <f t="shared" si="1"/>
        <v>0</v>
      </c>
      <c r="M7" s="14">
        <f t="shared" si="2"/>
        <v>0</v>
      </c>
    </row>
    <row r="8" spans="1:13" x14ac:dyDescent="0.2">
      <c r="A8" s="20">
        <v>4</v>
      </c>
      <c r="B8" s="18">
        <f>IF((A8&gt;=B4),B3,0)</f>
        <v>0</v>
      </c>
      <c r="C8" s="35"/>
      <c r="D8" s="35"/>
      <c r="E8" s="35"/>
      <c r="F8" s="35"/>
      <c r="G8" s="35"/>
      <c r="H8" s="35"/>
      <c r="I8" s="35"/>
      <c r="J8" s="35"/>
      <c r="K8" s="13">
        <f t="shared" si="0"/>
        <v>0</v>
      </c>
      <c r="L8" s="14">
        <f t="shared" si="1"/>
        <v>0</v>
      </c>
      <c r="M8" s="14">
        <f t="shared" si="2"/>
        <v>0</v>
      </c>
    </row>
    <row r="9" spans="1:13" x14ac:dyDescent="0.2">
      <c r="A9" s="20">
        <v>5</v>
      </c>
      <c r="B9" s="18">
        <f>IF((A9&gt;=B4),B3,0)</f>
        <v>0.02</v>
      </c>
      <c r="C9" s="35"/>
      <c r="D9" s="35"/>
      <c r="E9" s="35"/>
      <c r="F9" s="35"/>
      <c r="G9" s="35"/>
      <c r="H9" s="35"/>
      <c r="I9" s="35"/>
      <c r="J9" s="35"/>
      <c r="K9" s="13">
        <f t="shared" si="0"/>
        <v>0</v>
      </c>
      <c r="L9" s="14">
        <f t="shared" si="1"/>
        <v>0</v>
      </c>
      <c r="M9" s="14">
        <f t="shared" si="2"/>
        <v>0</v>
      </c>
    </row>
    <row r="10" spans="1:13" x14ac:dyDescent="0.2">
      <c r="A10" s="20">
        <v>6</v>
      </c>
      <c r="B10" s="18">
        <f>IF((A10&gt;=B4),B3,0)</f>
        <v>0.02</v>
      </c>
      <c r="C10" s="35"/>
      <c r="D10" s="35">
        <v>110</v>
      </c>
      <c r="E10" s="35"/>
      <c r="F10" s="35"/>
      <c r="G10" s="35"/>
      <c r="H10" s="35"/>
      <c r="I10" s="35"/>
      <c r="J10" s="35"/>
      <c r="K10" s="13">
        <f t="shared" si="0"/>
        <v>110</v>
      </c>
      <c r="L10" s="14">
        <f t="shared" si="1"/>
        <v>2.2000000000000002</v>
      </c>
      <c r="M10" s="14">
        <f t="shared" si="2"/>
        <v>112.2</v>
      </c>
    </row>
    <row r="11" spans="1:13" x14ac:dyDescent="0.2">
      <c r="A11" s="20">
        <v>7</v>
      </c>
      <c r="B11" s="18">
        <f>IF((A11&gt;=B4),B3,0)</f>
        <v>0.02</v>
      </c>
      <c r="C11" s="35"/>
      <c r="D11" s="35"/>
      <c r="E11" s="35">
        <v>245</v>
      </c>
      <c r="F11" s="35">
        <v>230</v>
      </c>
      <c r="G11" s="35">
        <v>121</v>
      </c>
      <c r="H11" s="35">
        <v>357</v>
      </c>
      <c r="I11" s="35">
        <v>25</v>
      </c>
      <c r="J11" s="35"/>
      <c r="K11" s="13">
        <f t="shared" si="0"/>
        <v>978</v>
      </c>
      <c r="L11" s="14">
        <f t="shared" si="1"/>
        <v>19.559999999999999</v>
      </c>
      <c r="M11" s="14">
        <f t="shared" si="2"/>
        <v>997.56</v>
      </c>
    </row>
    <row r="12" spans="1:13" x14ac:dyDescent="0.2">
      <c r="A12" s="20">
        <v>8</v>
      </c>
      <c r="B12" s="18">
        <f>IF((A12&gt;=B4),B3,0)</f>
        <v>0.02</v>
      </c>
      <c r="C12" s="35"/>
      <c r="D12" s="35"/>
      <c r="E12" s="35"/>
      <c r="F12" s="35">
        <v>156</v>
      </c>
      <c r="G12" s="35">
        <v>450</v>
      </c>
      <c r="H12" s="35">
        <v>300</v>
      </c>
      <c r="I12" s="35">
        <v>18</v>
      </c>
      <c r="J12" s="35"/>
      <c r="K12" s="13">
        <f t="shared" si="0"/>
        <v>924</v>
      </c>
      <c r="L12" s="14">
        <f t="shared" si="1"/>
        <v>18.48</v>
      </c>
      <c r="M12" s="14">
        <f t="shared" si="2"/>
        <v>942.48</v>
      </c>
    </row>
    <row r="13" spans="1:13" x14ac:dyDescent="0.2">
      <c r="A13" s="20">
        <v>9</v>
      </c>
      <c r="B13" s="18">
        <f>IF((A13&gt;=B4),B3,0)</f>
        <v>0.02</v>
      </c>
      <c r="C13" s="35"/>
      <c r="D13" s="35"/>
      <c r="E13" s="35"/>
      <c r="F13" s="35"/>
      <c r="G13" s="35"/>
      <c r="H13" s="35"/>
      <c r="I13" s="35"/>
      <c r="J13" s="35"/>
      <c r="K13" s="13">
        <f t="shared" si="0"/>
        <v>0</v>
      </c>
      <c r="L13" s="14">
        <f t="shared" si="1"/>
        <v>0</v>
      </c>
      <c r="M13" s="14">
        <f t="shared" si="2"/>
        <v>0</v>
      </c>
    </row>
    <row r="14" spans="1:13" x14ac:dyDescent="0.2">
      <c r="A14" s="20">
        <v>10</v>
      </c>
      <c r="B14" s="18">
        <f>IF((A14&gt;=B4),B3,0)</f>
        <v>0.02</v>
      </c>
      <c r="C14" s="35"/>
      <c r="D14" s="35"/>
      <c r="E14" s="35"/>
      <c r="F14" s="35"/>
      <c r="G14" s="35"/>
      <c r="H14" s="35"/>
      <c r="I14" s="35"/>
      <c r="J14" s="35"/>
      <c r="K14" s="13">
        <f t="shared" si="0"/>
        <v>0</v>
      </c>
      <c r="L14" s="14">
        <f t="shared" si="1"/>
        <v>0</v>
      </c>
      <c r="M14" s="14">
        <f t="shared" si="2"/>
        <v>0</v>
      </c>
    </row>
    <row r="15" spans="1:13" x14ac:dyDescent="0.2">
      <c r="A15" s="20">
        <v>11</v>
      </c>
      <c r="B15" s="18">
        <f>IF((A15&gt;=B4),B3,0)</f>
        <v>0.02</v>
      </c>
      <c r="C15" s="35"/>
      <c r="D15" s="35"/>
      <c r="E15" s="35"/>
      <c r="F15" s="35"/>
      <c r="G15" s="35"/>
      <c r="H15" s="35"/>
      <c r="I15" s="35"/>
      <c r="J15" s="35"/>
      <c r="K15" s="13">
        <f t="shared" si="0"/>
        <v>0</v>
      </c>
      <c r="L15" s="14">
        <f t="shared" si="1"/>
        <v>0</v>
      </c>
      <c r="M15" s="14">
        <f t="shared" si="2"/>
        <v>0</v>
      </c>
    </row>
    <row r="16" spans="1:13" x14ac:dyDescent="0.2">
      <c r="A16" s="20">
        <v>12</v>
      </c>
      <c r="B16" s="18">
        <f>IF((A16&gt;=B4),B3,0)</f>
        <v>0.02</v>
      </c>
      <c r="C16" s="35"/>
      <c r="D16" s="35"/>
      <c r="E16" s="35"/>
      <c r="F16" s="35"/>
      <c r="G16" s="35"/>
      <c r="H16" s="35"/>
      <c r="I16" s="35"/>
      <c r="J16" s="35"/>
      <c r="K16" s="13">
        <f t="shared" si="0"/>
        <v>0</v>
      </c>
      <c r="L16" s="14">
        <f t="shared" si="1"/>
        <v>0</v>
      </c>
      <c r="M16" s="14">
        <f t="shared" si="2"/>
        <v>0</v>
      </c>
    </row>
    <row r="17" spans="1:13" x14ac:dyDescent="0.2">
      <c r="A17" s="20">
        <v>13</v>
      </c>
      <c r="B17" s="18">
        <f>IF((A17&gt;=B4),B3,0)</f>
        <v>0.02</v>
      </c>
      <c r="C17" s="35"/>
      <c r="D17" s="35"/>
      <c r="E17" s="35"/>
      <c r="F17" s="35"/>
      <c r="G17" s="35"/>
      <c r="H17" s="35"/>
      <c r="I17" s="35"/>
      <c r="J17" s="35"/>
      <c r="K17" s="13">
        <f t="shared" si="0"/>
        <v>0</v>
      </c>
      <c r="L17" s="14">
        <f t="shared" si="1"/>
        <v>0</v>
      </c>
      <c r="M17" s="14">
        <f t="shared" si="2"/>
        <v>0</v>
      </c>
    </row>
    <row r="18" spans="1:13" x14ac:dyDescent="0.2">
      <c r="A18" s="20">
        <v>14</v>
      </c>
      <c r="B18" s="18">
        <f>IF((A18&gt;=B4),B3,0)</f>
        <v>0.02</v>
      </c>
      <c r="C18" s="35"/>
      <c r="D18" s="35"/>
      <c r="E18" s="35"/>
      <c r="F18" s="35"/>
      <c r="G18" s="35"/>
      <c r="H18" s="35"/>
      <c r="I18" s="35"/>
      <c r="J18" s="35"/>
      <c r="K18" s="13">
        <f t="shared" si="0"/>
        <v>0</v>
      </c>
      <c r="L18" s="14">
        <f t="shared" si="1"/>
        <v>0</v>
      </c>
      <c r="M18" s="14">
        <f t="shared" si="2"/>
        <v>0</v>
      </c>
    </row>
    <row r="19" spans="1:13" x14ac:dyDescent="0.2">
      <c r="A19" s="20">
        <v>15</v>
      </c>
      <c r="B19" s="18">
        <f>IF((A19&gt;=B4),B3,0)</f>
        <v>0.02</v>
      </c>
      <c r="C19" s="35"/>
      <c r="D19" s="35"/>
      <c r="E19" s="35"/>
      <c r="F19" s="35"/>
      <c r="G19" s="35"/>
      <c r="H19" s="35"/>
      <c r="I19" s="35"/>
      <c r="J19" s="35"/>
      <c r="K19" s="13">
        <f t="shared" si="0"/>
        <v>0</v>
      </c>
      <c r="L19" s="14">
        <f t="shared" si="1"/>
        <v>0</v>
      </c>
      <c r="M19" s="14">
        <f t="shared" si="2"/>
        <v>0</v>
      </c>
    </row>
    <row r="20" spans="1:13" x14ac:dyDescent="0.2">
      <c r="A20" s="20">
        <v>16</v>
      </c>
      <c r="B20" s="18">
        <f>IF((A20&gt;=B4),B3,0)</f>
        <v>0.02</v>
      </c>
      <c r="C20" s="35"/>
      <c r="D20" s="35"/>
      <c r="E20" s="35"/>
      <c r="F20" s="35"/>
      <c r="G20" s="35"/>
      <c r="H20" s="35"/>
      <c r="I20" s="35"/>
      <c r="J20" s="35"/>
      <c r="K20" s="13">
        <f t="shared" si="0"/>
        <v>0</v>
      </c>
      <c r="L20" s="14">
        <f t="shared" si="1"/>
        <v>0</v>
      </c>
      <c r="M20" s="14">
        <f t="shared" si="2"/>
        <v>0</v>
      </c>
    </row>
    <row r="21" spans="1:13" x14ac:dyDescent="0.2">
      <c r="A21" s="20">
        <v>17</v>
      </c>
      <c r="B21" s="18">
        <f>IF((A21&gt;=B4),B3,0)</f>
        <v>0.02</v>
      </c>
      <c r="C21" s="35"/>
      <c r="D21" s="35"/>
      <c r="E21" s="35"/>
      <c r="F21" s="35"/>
      <c r="G21" s="35"/>
      <c r="H21" s="35"/>
      <c r="I21" s="35"/>
      <c r="J21" s="35"/>
      <c r="K21" s="13">
        <f t="shared" si="0"/>
        <v>0</v>
      </c>
      <c r="L21" s="14">
        <f t="shared" si="1"/>
        <v>0</v>
      </c>
      <c r="M21" s="14">
        <f t="shared" si="2"/>
        <v>0</v>
      </c>
    </row>
    <row r="22" spans="1:13" x14ac:dyDescent="0.2">
      <c r="A22" s="20">
        <v>18</v>
      </c>
      <c r="B22" s="18">
        <f>IF((A22&gt;=B4),B3,0)</f>
        <v>0.02</v>
      </c>
      <c r="C22" s="35"/>
      <c r="D22" s="35"/>
      <c r="E22" s="35"/>
      <c r="F22" s="35"/>
      <c r="G22" s="35"/>
      <c r="H22" s="35"/>
      <c r="I22" s="35"/>
      <c r="J22" s="35"/>
      <c r="K22" s="13">
        <f t="shared" si="0"/>
        <v>0</v>
      </c>
      <c r="L22" s="14">
        <f t="shared" si="1"/>
        <v>0</v>
      </c>
      <c r="M22" s="14">
        <f t="shared" si="2"/>
        <v>0</v>
      </c>
    </row>
    <row r="23" spans="1:13" x14ac:dyDescent="0.2">
      <c r="A23" s="20">
        <v>19</v>
      </c>
      <c r="B23" s="18">
        <f>IF((A23&gt;=B4),B3,0)</f>
        <v>0.02</v>
      </c>
      <c r="C23" s="35"/>
      <c r="D23" s="35"/>
      <c r="E23" s="35"/>
      <c r="F23" s="35"/>
      <c r="G23" s="35"/>
      <c r="H23" s="35"/>
      <c r="I23" s="35"/>
      <c r="J23" s="35"/>
      <c r="K23" s="13">
        <f t="shared" si="0"/>
        <v>0</v>
      </c>
      <c r="L23" s="14">
        <f t="shared" si="1"/>
        <v>0</v>
      </c>
      <c r="M23" s="14">
        <f t="shared" si="2"/>
        <v>0</v>
      </c>
    </row>
    <row r="24" spans="1:13" x14ac:dyDescent="0.2">
      <c r="A24" s="20">
        <v>20</v>
      </c>
      <c r="B24" s="18">
        <f>IF((A24&gt;=B4),B3,0)</f>
        <v>0.02</v>
      </c>
      <c r="C24" s="35"/>
      <c r="D24" s="35"/>
      <c r="E24" s="35"/>
      <c r="F24" s="35"/>
      <c r="G24" s="35"/>
      <c r="H24" s="35"/>
      <c r="I24" s="35"/>
      <c r="J24" s="35"/>
      <c r="K24" s="13">
        <f t="shared" si="0"/>
        <v>0</v>
      </c>
      <c r="L24" s="14">
        <f t="shared" si="1"/>
        <v>0</v>
      </c>
      <c r="M24" s="14">
        <f t="shared" si="2"/>
        <v>0</v>
      </c>
    </row>
    <row r="25" spans="1:13" x14ac:dyDescent="0.2">
      <c r="A25" s="20">
        <v>21</v>
      </c>
      <c r="B25" s="18">
        <f>IF((A25&gt;=B4),B3,0)</f>
        <v>0.02</v>
      </c>
      <c r="C25" s="35"/>
      <c r="D25" s="35"/>
      <c r="E25" s="35"/>
      <c r="F25" s="35"/>
      <c r="G25" s="35"/>
      <c r="H25" s="35"/>
      <c r="I25" s="35"/>
      <c r="J25" s="35"/>
      <c r="K25" s="13">
        <f t="shared" si="0"/>
        <v>0</v>
      </c>
      <c r="L25" s="14">
        <f t="shared" si="1"/>
        <v>0</v>
      </c>
      <c r="M25" s="14">
        <f t="shared" si="2"/>
        <v>0</v>
      </c>
    </row>
    <row r="26" spans="1:13" x14ac:dyDescent="0.2">
      <c r="A26" s="20">
        <v>22</v>
      </c>
      <c r="B26" s="18">
        <f>IF((A26&gt;=B4),B3,0)</f>
        <v>0.02</v>
      </c>
      <c r="C26" s="35"/>
      <c r="D26" s="35"/>
      <c r="E26" s="35"/>
      <c r="F26" s="35"/>
      <c r="G26" s="35"/>
      <c r="H26" s="35"/>
      <c r="I26" s="35"/>
      <c r="J26" s="35"/>
      <c r="K26" s="13">
        <f t="shared" si="0"/>
        <v>0</v>
      </c>
      <c r="L26" s="14">
        <f t="shared" si="1"/>
        <v>0</v>
      </c>
      <c r="M26" s="14">
        <f t="shared" si="2"/>
        <v>0</v>
      </c>
    </row>
    <row r="27" spans="1:13" x14ac:dyDescent="0.2">
      <c r="A27" s="20">
        <v>23</v>
      </c>
      <c r="B27" s="18">
        <f t="shared" ref="B27" si="3">IF((A27&gt;=B19),B18,0)</f>
        <v>0.02</v>
      </c>
      <c r="C27" s="35"/>
      <c r="D27" s="35"/>
      <c r="E27" s="35"/>
      <c r="F27" s="35"/>
      <c r="G27" s="35"/>
      <c r="H27" s="35"/>
      <c r="I27" s="35"/>
      <c r="J27" s="35"/>
      <c r="K27" s="13">
        <f t="shared" si="0"/>
        <v>0</v>
      </c>
      <c r="L27" s="14">
        <f t="shared" si="1"/>
        <v>0</v>
      </c>
      <c r="M27" s="14">
        <f t="shared" si="2"/>
        <v>0</v>
      </c>
    </row>
    <row r="28" spans="1:13" x14ac:dyDescent="0.2">
      <c r="A28" s="20">
        <v>24</v>
      </c>
      <c r="B28" s="18">
        <f>IF((A28&gt;=B4),B3,0)</f>
        <v>0.02</v>
      </c>
      <c r="C28" s="35"/>
      <c r="D28" s="35"/>
      <c r="E28" s="35"/>
      <c r="F28" s="35"/>
      <c r="G28" s="35"/>
      <c r="H28" s="35"/>
      <c r="I28" s="35"/>
      <c r="J28" s="35"/>
      <c r="K28" s="13">
        <f t="shared" si="0"/>
        <v>0</v>
      </c>
      <c r="L28" s="14">
        <f t="shared" si="1"/>
        <v>0</v>
      </c>
      <c r="M28" s="14">
        <f t="shared" si="2"/>
        <v>0</v>
      </c>
    </row>
    <row r="29" spans="1:13" x14ac:dyDescent="0.2">
      <c r="A29" s="20">
        <v>25</v>
      </c>
      <c r="B29" s="18">
        <f>IF((A29&gt;=B4),B3,0)</f>
        <v>0.02</v>
      </c>
      <c r="C29" s="35"/>
      <c r="D29" s="35"/>
      <c r="E29" s="35"/>
      <c r="F29" s="35"/>
      <c r="G29" s="35"/>
      <c r="H29" s="35"/>
      <c r="I29" s="35"/>
      <c r="J29" s="35"/>
      <c r="K29" s="13">
        <f t="shared" si="0"/>
        <v>0</v>
      </c>
      <c r="L29" s="14">
        <f t="shared" si="1"/>
        <v>0</v>
      </c>
      <c r="M29" s="14">
        <f t="shared" si="2"/>
        <v>0</v>
      </c>
    </row>
    <row r="30" spans="1:13" x14ac:dyDescent="0.2">
      <c r="A30" s="20">
        <v>26</v>
      </c>
      <c r="B30" s="18">
        <f>IF((A30&gt;=B4),B3,0)</f>
        <v>0.02</v>
      </c>
      <c r="C30" s="35"/>
      <c r="D30" s="35"/>
      <c r="E30" s="35"/>
      <c r="F30" s="35"/>
      <c r="G30" s="35"/>
      <c r="H30" s="35"/>
      <c r="I30" s="35"/>
      <c r="J30" s="35"/>
      <c r="K30" s="13">
        <f t="shared" si="0"/>
        <v>0</v>
      </c>
      <c r="L30" s="14">
        <f t="shared" si="1"/>
        <v>0</v>
      </c>
      <c r="M30" s="14">
        <f t="shared" si="2"/>
        <v>0</v>
      </c>
    </row>
    <row r="31" spans="1:13" x14ac:dyDescent="0.2">
      <c r="A31" s="20">
        <v>27</v>
      </c>
      <c r="B31" s="18">
        <f>IF((A31&gt;=B4),B3,0)</f>
        <v>0.02</v>
      </c>
      <c r="C31" s="35"/>
      <c r="D31" s="35"/>
      <c r="E31" s="35"/>
      <c r="F31" s="35"/>
      <c r="G31" s="35"/>
      <c r="H31" s="35"/>
      <c r="I31" s="35"/>
      <c r="J31" s="35"/>
      <c r="K31" s="13">
        <f t="shared" si="0"/>
        <v>0</v>
      </c>
      <c r="L31" s="14">
        <f t="shared" si="1"/>
        <v>0</v>
      </c>
      <c r="M31" s="14">
        <f t="shared" si="2"/>
        <v>0</v>
      </c>
    </row>
    <row r="32" spans="1:13" x14ac:dyDescent="0.2">
      <c r="A32" s="20">
        <v>28</v>
      </c>
      <c r="B32" s="18">
        <f>IF((A32&gt;=B4),B3,0)</f>
        <v>0.02</v>
      </c>
      <c r="C32" s="35"/>
      <c r="D32" s="35"/>
      <c r="E32" s="35"/>
      <c r="F32" s="35"/>
      <c r="G32" s="35"/>
      <c r="H32" s="35"/>
      <c r="I32" s="35"/>
      <c r="J32" s="35"/>
      <c r="K32" s="13">
        <f t="shared" si="0"/>
        <v>0</v>
      </c>
      <c r="L32" s="14">
        <f t="shared" si="1"/>
        <v>0</v>
      </c>
      <c r="M32" s="14">
        <f t="shared" si="2"/>
        <v>0</v>
      </c>
    </row>
    <row r="33" spans="1:13" x14ac:dyDescent="0.2">
      <c r="A33" s="20">
        <v>29</v>
      </c>
      <c r="B33" s="18">
        <f>IF((A33&gt;=B4),B3,0)</f>
        <v>0.02</v>
      </c>
      <c r="C33" s="35"/>
      <c r="D33" s="35"/>
      <c r="E33" s="35"/>
      <c r="F33" s="35"/>
      <c r="G33" s="35"/>
      <c r="H33" s="35"/>
      <c r="I33" s="35"/>
      <c r="J33" s="35"/>
      <c r="K33" s="13">
        <f t="shared" si="0"/>
        <v>0</v>
      </c>
      <c r="L33" s="14">
        <f t="shared" si="1"/>
        <v>0</v>
      </c>
      <c r="M33" s="14">
        <f t="shared" si="2"/>
        <v>0</v>
      </c>
    </row>
    <row r="34" spans="1:13" x14ac:dyDescent="0.2">
      <c r="A34" s="20">
        <v>30</v>
      </c>
      <c r="B34" s="18">
        <f>IF((A34&gt;=B4),B3,0)</f>
        <v>0.02</v>
      </c>
      <c r="C34" s="35"/>
      <c r="D34" s="35"/>
      <c r="E34" s="35"/>
      <c r="F34" s="35"/>
      <c r="G34" s="35"/>
      <c r="H34" s="35"/>
      <c r="I34" s="35"/>
      <c r="J34" s="35"/>
      <c r="K34" s="13">
        <f t="shared" si="0"/>
        <v>0</v>
      </c>
      <c r="L34" s="14">
        <f t="shared" si="1"/>
        <v>0</v>
      </c>
      <c r="M34" s="14">
        <f t="shared" si="2"/>
        <v>0</v>
      </c>
    </row>
    <row r="35" spans="1:13" x14ac:dyDescent="0.2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0" customHeight="1" x14ac:dyDescent="0.2">
      <c r="A36" s="31" t="s">
        <v>70</v>
      </c>
      <c r="B36" s="31"/>
      <c r="C36" s="32">
        <f>SUM(C3:C35)</f>
        <v>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0" customHeight="1" x14ac:dyDescent="0.2">
      <c r="A37" s="30" t="s">
        <v>71</v>
      </c>
      <c r="B37" s="30"/>
      <c r="C37" s="14"/>
      <c r="D37" s="14"/>
      <c r="E37" s="14"/>
      <c r="F37" s="14"/>
      <c r="G37" s="14"/>
      <c r="H37" s="14"/>
      <c r="I37" s="14"/>
      <c r="J37" s="14"/>
      <c r="K37" s="34">
        <f>SUM(K5:K34)</f>
        <v>2012</v>
      </c>
      <c r="L37" s="34">
        <f t="shared" ref="L37:M37" si="4">SUM(L5:L34)</f>
        <v>40.239999999999995</v>
      </c>
      <c r="M37" s="34">
        <f t="shared" si="4"/>
        <v>2052.2399999999998</v>
      </c>
    </row>
    <row r="38" spans="1:13" x14ac:dyDescent="0.2"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</sheetData>
  <mergeCells count="2">
    <mergeCell ref="A36:B36"/>
    <mergeCell ref="A37:B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B558-FE4F-F247-85BA-83C00F60151A}">
  <dimension ref="A2:J37"/>
  <sheetViews>
    <sheetView zoomScale="160" zoomScaleNormal="160" workbookViewId="0">
      <selection activeCell="A36" sqref="A36:B36"/>
    </sheetView>
  </sheetViews>
  <sheetFormatPr baseColWidth="10" defaultRowHeight="13" x14ac:dyDescent="0.2"/>
  <cols>
    <col min="1" max="1" width="7.33203125" style="20" customWidth="1"/>
    <col min="2" max="2" width="7.33203125" style="12" customWidth="1"/>
    <col min="3" max="3" width="13" style="12" customWidth="1"/>
    <col min="4" max="4" width="13.5" style="12" customWidth="1"/>
    <col min="5" max="5" width="15.83203125" style="12" customWidth="1"/>
    <col min="6" max="6" width="13.83203125" style="12" customWidth="1"/>
    <col min="7" max="7" width="12.5" style="12" customWidth="1"/>
    <col min="8" max="9" width="12.6640625" style="12" customWidth="1"/>
    <col min="10" max="10" width="11.5" style="12" customWidth="1"/>
    <col min="11" max="16384" width="10.83203125" style="12"/>
  </cols>
  <sheetData>
    <row r="2" spans="1:10" ht="75" customHeight="1" x14ac:dyDescent="0.2">
      <c r="B2" s="13" t="s">
        <v>51</v>
      </c>
      <c r="C2" s="33" t="s">
        <v>72</v>
      </c>
      <c r="D2" s="33" t="s">
        <v>73</v>
      </c>
      <c r="E2" s="13" t="s">
        <v>74</v>
      </c>
      <c r="F2" s="13" t="s">
        <v>75</v>
      </c>
      <c r="G2" s="13" t="s">
        <v>76</v>
      </c>
      <c r="H2" s="13" t="s">
        <v>77</v>
      </c>
      <c r="I2" s="13" t="s">
        <v>69</v>
      </c>
      <c r="J2" s="13" t="s">
        <v>78</v>
      </c>
    </row>
    <row r="3" spans="1:10" ht="15" customHeight="1" x14ac:dyDescent="0.2">
      <c r="B3" s="19">
        <v>0.02</v>
      </c>
      <c r="C3" s="13"/>
      <c r="D3" s="13"/>
      <c r="E3" s="13"/>
      <c r="F3" s="13"/>
      <c r="G3" s="13"/>
      <c r="H3" s="13"/>
      <c r="I3" s="13"/>
      <c r="J3" s="13"/>
    </row>
    <row r="4" spans="1:10" ht="15" customHeight="1" x14ac:dyDescent="0.2">
      <c r="A4" s="20" t="s">
        <v>55</v>
      </c>
      <c r="B4" s="21">
        <v>5</v>
      </c>
      <c r="C4" s="13"/>
      <c r="D4" s="13"/>
      <c r="E4" s="13"/>
      <c r="F4" s="13"/>
      <c r="G4" s="13"/>
      <c r="H4" s="13"/>
      <c r="I4" s="13"/>
      <c r="J4" s="13"/>
    </row>
    <row r="5" spans="1:10" x14ac:dyDescent="0.2">
      <c r="A5" s="20">
        <v>1</v>
      </c>
      <c r="B5" s="18">
        <f>IF((A5&gt;=B4),B3,0)</f>
        <v>0</v>
      </c>
      <c r="C5" s="35"/>
      <c r="D5" s="36"/>
      <c r="E5" s="35"/>
      <c r="F5" s="36"/>
      <c r="G5" s="35"/>
      <c r="H5" s="39">
        <f>SUM(C5:G5)</f>
        <v>0</v>
      </c>
      <c r="I5" s="14">
        <f>H5*B5</f>
        <v>0</v>
      </c>
      <c r="J5" s="14">
        <f>H5+I5</f>
        <v>0</v>
      </c>
    </row>
    <row r="6" spans="1:10" x14ac:dyDescent="0.2">
      <c r="A6" s="20">
        <v>2</v>
      </c>
      <c r="B6" s="18">
        <f>IF((A6&gt;=B4),B3,0)</f>
        <v>0</v>
      </c>
      <c r="C6" s="35"/>
      <c r="D6" s="36"/>
      <c r="E6" s="35"/>
      <c r="F6" s="36"/>
      <c r="G6" s="35"/>
      <c r="H6" s="13">
        <f>SUM(C6:G6)</f>
        <v>0</v>
      </c>
      <c r="I6" s="14">
        <f>H6*B6</f>
        <v>0</v>
      </c>
      <c r="J6" s="14">
        <f t="shared" ref="J6:J34" si="0">H6+I6</f>
        <v>0</v>
      </c>
    </row>
    <row r="7" spans="1:10" x14ac:dyDescent="0.2">
      <c r="A7" s="20">
        <v>3</v>
      </c>
      <c r="B7" s="18">
        <f>IF((A7&gt;=B4),B3,0)</f>
        <v>0</v>
      </c>
      <c r="C7" s="35"/>
      <c r="D7" s="35"/>
      <c r="E7" s="35"/>
      <c r="F7" s="35"/>
      <c r="G7" s="35"/>
      <c r="H7" s="13">
        <f>SUM(C7:G7)</f>
        <v>0</v>
      </c>
      <c r="I7" s="14">
        <f>H7*B7</f>
        <v>0</v>
      </c>
      <c r="J7" s="14">
        <f t="shared" si="0"/>
        <v>0</v>
      </c>
    </row>
    <row r="8" spans="1:10" x14ac:dyDescent="0.2">
      <c r="A8" s="20">
        <v>4</v>
      </c>
      <c r="B8" s="18">
        <f>IF((A8&gt;=B4),B3,0)</f>
        <v>0</v>
      </c>
      <c r="C8" s="35"/>
      <c r="D8" s="35"/>
      <c r="E8" s="35"/>
      <c r="F8" s="35"/>
      <c r="G8" s="35"/>
      <c r="H8" s="13">
        <f>SUM(C8:G8)</f>
        <v>0</v>
      </c>
      <c r="I8" s="14">
        <f>H8*B8</f>
        <v>0</v>
      </c>
      <c r="J8" s="14">
        <f t="shared" si="0"/>
        <v>0</v>
      </c>
    </row>
    <row r="9" spans="1:10" x14ac:dyDescent="0.2">
      <c r="A9" s="20">
        <v>5</v>
      </c>
      <c r="B9" s="18">
        <f>IF((A9&gt;=B4),B3,0)</f>
        <v>0.02</v>
      </c>
      <c r="C9" s="35"/>
      <c r="D9" s="35"/>
      <c r="E9" s="35">
        <v>5</v>
      </c>
      <c r="F9" s="35">
        <v>15</v>
      </c>
      <c r="G9" s="35">
        <v>35</v>
      </c>
      <c r="H9" s="13">
        <f>SUM(C9:G9)</f>
        <v>55</v>
      </c>
      <c r="I9" s="14">
        <f>H9*B9</f>
        <v>1.1000000000000001</v>
      </c>
      <c r="J9" s="14">
        <f t="shared" si="0"/>
        <v>56.1</v>
      </c>
    </row>
    <row r="10" spans="1:10" x14ac:dyDescent="0.2">
      <c r="A10" s="20">
        <v>6</v>
      </c>
      <c r="B10" s="18">
        <f>IF((A10&gt;=B4),B3,0)</f>
        <v>0.02</v>
      </c>
      <c r="C10" s="35"/>
      <c r="D10" s="35"/>
      <c r="E10" s="35">
        <v>5</v>
      </c>
      <c r="F10" s="35">
        <v>15</v>
      </c>
      <c r="G10" s="35">
        <v>35</v>
      </c>
      <c r="H10" s="13">
        <f>SUM(C10:G10)</f>
        <v>55</v>
      </c>
      <c r="I10" s="14">
        <f>H10*B10</f>
        <v>1.1000000000000001</v>
      </c>
      <c r="J10" s="14">
        <f t="shared" si="0"/>
        <v>56.1</v>
      </c>
    </row>
    <row r="11" spans="1:10" x14ac:dyDescent="0.2">
      <c r="A11" s="20">
        <v>7</v>
      </c>
      <c r="B11" s="18">
        <f>IF((A11&gt;=B4),B3,0)</f>
        <v>0.02</v>
      </c>
      <c r="C11" s="35"/>
      <c r="D11" s="35"/>
      <c r="E11" s="35"/>
      <c r="F11" s="35">
        <v>15</v>
      </c>
      <c r="G11" s="35">
        <v>35</v>
      </c>
      <c r="H11" s="13">
        <f>SUM(C11:G11)</f>
        <v>50</v>
      </c>
      <c r="I11" s="14">
        <f>H11*B11</f>
        <v>1</v>
      </c>
      <c r="J11" s="14">
        <f t="shared" si="0"/>
        <v>51</v>
      </c>
    </row>
    <row r="12" spans="1:10" x14ac:dyDescent="0.2">
      <c r="A12" s="20">
        <v>8</v>
      </c>
      <c r="B12" s="18">
        <f>IF((A12&gt;=B4),B3,0)</f>
        <v>0.02</v>
      </c>
      <c r="C12" s="35"/>
      <c r="D12" s="35"/>
      <c r="E12" s="35"/>
      <c r="F12" s="35">
        <v>15</v>
      </c>
      <c r="G12" s="35">
        <v>35</v>
      </c>
      <c r="H12" s="13">
        <f>SUM(C12:G12)</f>
        <v>50</v>
      </c>
      <c r="I12" s="14">
        <f>H12*B12</f>
        <v>1</v>
      </c>
      <c r="J12" s="14">
        <f t="shared" si="0"/>
        <v>51</v>
      </c>
    </row>
    <row r="13" spans="1:10" x14ac:dyDescent="0.2">
      <c r="A13" s="20">
        <v>9</v>
      </c>
      <c r="B13" s="18">
        <f>IF((A13&gt;=B4),B3,0)</f>
        <v>0.02</v>
      </c>
      <c r="C13" s="35"/>
      <c r="D13" s="35"/>
      <c r="E13" s="35"/>
      <c r="F13" s="35">
        <v>15</v>
      </c>
      <c r="G13" s="35">
        <v>35</v>
      </c>
      <c r="H13" s="13">
        <f>SUM(C13:G13)</f>
        <v>50</v>
      </c>
      <c r="I13" s="14">
        <f>H13*B13</f>
        <v>1</v>
      </c>
      <c r="J13" s="14">
        <f t="shared" si="0"/>
        <v>51</v>
      </c>
    </row>
    <row r="14" spans="1:10" x14ac:dyDescent="0.2">
      <c r="A14" s="20">
        <v>10</v>
      </c>
      <c r="B14" s="18">
        <f>IF((A14&gt;=B4),B3,0)</f>
        <v>0.02</v>
      </c>
      <c r="C14" s="35"/>
      <c r="D14" s="35"/>
      <c r="E14" s="35"/>
      <c r="F14" s="35">
        <v>15</v>
      </c>
      <c r="G14" s="35">
        <v>35</v>
      </c>
      <c r="H14" s="13">
        <f>SUM(C14:G14)</f>
        <v>50</v>
      </c>
      <c r="I14" s="14">
        <f>H14*B14</f>
        <v>1</v>
      </c>
      <c r="J14" s="14">
        <f t="shared" si="0"/>
        <v>51</v>
      </c>
    </row>
    <row r="15" spans="1:10" x14ac:dyDescent="0.2">
      <c r="A15" s="20">
        <v>11</v>
      </c>
      <c r="B15" s="18">
        <f>IF((A15&gt;=B4),B3,0)</f>
        <v>0.02</v>
      </c>
      <c r="C15" s="35"/>
      <c r="D15" s="35"/>
      <c r="E15" s="35"/>
      <c r="F15" s="35">
        <v>15</v>
      </c>
      <c r="G15" s="35">
        <v>35</v>
      </c>
      <c r="H15" s="13">
        <f>SUM(C15:G15)</f>
        <v>50</v>
      </c>
      <c r="I15" s="14">
        <f>H15*B15</f>
        <v>1</v>
      </c>
      <c r="J15" s="14">
        <f t="shared" si="0"/>
        <v>51</v>
      </c>
    </row>
    <row r="16" spans="1:10" x14ac:dyDescent="0.2">
      <c r="A16" s="20">
        <v>12</v>
      </c>
      <c r="B16" s="18">
        <f>IF((A16&gt;=B4),B3,0)</f>
        <v>0.02</v>
      </c>
      <c r="C16" s="35"/>
      <c r="D16" s="35"/>
      <c r="E16" s="35">
        <v>15</v>
      </c>
      <c r="F16" s="35">
        <v>15</v>
      </c>
      <c r="G16" s="35">
        <v>35</v>
      </c>
      <c r="H16" s="13">
        <f>SUM(C16:G16)</f>
        <v>65</v>
      </c>
      <c r="I16" s="14">
        <f>H16*B16</f>
        <v>1.3</v>
      </c>
      <c r="J16" s="14">
        <f t="shared" si="0"/>
        <v>66.3</v>
      </c>
    </row>
    <row r="17" spans="1:10" x14ac:dyDescent="0.2">
      <c r="A17" s="20">
        <v>13</v>
      </c>
      <c r="B17" s="18">
        <f>IF((A17&gt;=B4),B3,0)</f>
        <v>0.02</v>
      </c>
      <c r="C17" s="35"/>
      <c r="D17" s="35"/>
      <c r="E17" s="35"/>
      <c r="F17" s="35">
        <v>15</v>
      </c>
      <c r="G17" s="35">
        <v>35</v>
      </c>
      <c r="H17" s="13">
        <f>SUM(C17:G17)</f>
        <v>50</v>
      </c>
      <c r="I17" s="14">
        <f>H17*B17</f>
        <v>1</v>
      </c>
      <c r="J17" s="14">
        <f t="shared" si="0"/>
        <v>51</v>
      </c>
    </row>
    <row r="18" spans="1:10" x14ac:dyDescent="0.2">
      <c r="A18" s="20">
        <v>14</v>
      </c>
      <c r="B18" s="18">
        <f>IF((A18&gt;=B4),B3,0)</f>
        <v>0.02</v>
      </c>
      <c r="C18" s="35"/>
      <c r="D18" s="35"/>
      <c r="E18" s="35"/>
      <c r="F18" s="35">
        <v>15</v>
      </c>
      <c r="G18" s="35">
        <v>35</v>
      </c>
      <c r="H18" s="13">
        <f>SUM(C18:G18)</f>
        <v>50</v>
      </c>
      <c r="I18" s="14">
        <f>H18*B18</f>
        <v>1</v>
      </c>
      <c r="J18" s="14">
        <f t="shared" si="0"/>
        <v>51</v>
      </c>
    </row>
    <row r="19" spans="1:10" x14ac:dyDescent="0.2">
      <c r="A19" s="20">
        <v>15</v>
      </c>
      <c r="B19" s="18">
        <f>IF((A19&gt;=B4),B3,0)</f>
        <v>0.02</v>
      </c>
      <c r="C19" s="35"/>
      <c r="D19" s="35"/>
      <c r="E19" s="35"/>
      <c r="F19" s="35">
        <v>15</v>
      </c>
      <c r="G19" s="35">
        <v>35</v>
      </c>
      <c r="H19" s="13">
        <f>SUM(C19:G19)</f>
        <v>50</v>
      </c>
      <c r="I19" s="14">
        <f>H19*B19</f>
        <v>1</v>
      </c>
      <c r="J19" s="14">
        <f t="shared" si="0"/>
        <v>51</v>
      </c>
    </row>
    <row r="20" spans="1:10" x14ac:dyDescent="0.2">
      <c r="A20" s="20">
        <v>16</v>
      </c>
      <c r="B20" s="18">
        <f>IF((A20&gt;=B4),B3,0)</f>
        <v>0.02</v>
      </c>
      <c r="C20" s="35"/>
      <c r="D20" s="35"/>
      <c r="E20" s="35"/>
      <c r="F20" s="35">
        <v>15</v>
      </c>
      <c r="G20" s="35">
        <v>35</v>
      </c>
      <c r="H20" s="13">
        <f>SUM(C20:G20)</f>
        <v>50</v>
      </c>
      <c r="I20" s="14">
        <f>H20*B20</f>
        <v>1</v>
      </c>
      <c r="J20" s="14">
        <f t="shared" si="0"/>
        <v>51</v>
      </c>
    </row>
    <row r="21" spans="1:10" x14ac:dyDescent="0.2">
      <c r="A21" s="20">
        <v>17</v>
      </c>
      <c r="B21" s="18">
        <f>IF((A21&gt;=B4),B3,0)</f>
        <v>0.02</v>
      </c>
      <c r="C21" s="35"/>
      <c r="D21" s="35"/>
      <c r="E21" s="35"/>
      <c r="F21" s="35">
        <v>15</v>
      </c>
      <c r="G21" s="35">
        <v>35</v>
      </c>
      <c r="H21" s="13">
        <f>SUM(C21:G21)</f>
        <v>50</v>
      </c>
      <c r="I21" s="14">
        <f>H21*B21</f>
        <v>1</v>
      </c>
      <c r="J21" s="14">
        <f t="shared" si="0"/>
        <v>51</v>
      </c>
    </row>
    <row r="22" spans="1:10" x14ac:dyDescent="0.2">
      <c r="A22" s="20">
        <v>18</v>
      </c>
      <c r="B22" s="18">
        <f>IF((A22&gt;=B4),B3,0)</f>
        <v>0.02</v>
      </c>
      <c r="C22" s="35"/>
      <c r="D22" s="35"/>
      <c r="E22" s="35"/>
      <c r="F22" s="35">
        <v>15</v>
      </c>
      <c r="G22" s="35">
        <v>35</v>
      </c>
      <c r="H22" s="13">
        <f>SUM(C22:G22)</f>
        <v>50</v>
      </c>
      <c r="I22" s="14">
        <f>H22*B22</f>
        <v>1</v>
      </c>
      <c r="J22" s="14">
        <f t="shared" si="0"/>
        <v>51</v>
      </c>
    </row>
    <row r="23" spans="1:10" x14ac:dyDescent="0.2">
      <c r="A23" s="20">
        <v>19</v>
      </c>
      <c r="B23" s="18">
        <f>IF((A23&gt;=B4),B3,0)</f>
        <v>0.02</v>
      </c>
      <c r="C23" s="35"/>
      <c r="D23" s="35"/>
      <c r="E23" s="35"/>
      <c r="F23" s="35">
        <v>15</v>
      </c>
      <c r="G23" s="35">
        <v>35</v>
      </c>
      <c r="H23" s="13">
        <f>SUM(C23:G23)</f>
        <v>50</v>
      </c>
      <c r="I23" s="14">
        <f>H23*B23</f>
        <v>1</v>
      </c>
      <c r="J23" s="14">
        <f t="shared" si="0"/>
        <v>51</v>
      </c>
    </row>
    <row r="24" spans="1:10" x14ac:dyDescent="0.2">
      <c r="A24" s="20">
        <v>20</v>
      </c>
      <c r="B24" s="18">
        <f>IF((A24&gt;=B4),B3,0)</f>
        <v>0.02</v>
      </c>
      <c r="C24" s="35"/>
      <c r="D24" s="35"/>
      <c r="E24" s="35"/>
      <c r="F24" s="35">
        <v>15</v>
      </c>
      <c r="G24" s="35">
        <v>35</v>
      </c>
      <c r="H24" s="13">
        <f>SUM(C24:G24)</f>
        <v>50</v>
      </c>
      <c r="I24" s="14">
        <f>H24*B24</f>
        <v>1</v>
      </c>
      <c r="J24" s="14">
        <f t="shared" si="0"/>
        <v>51</v>
      </c>
    </row>
    <row r="25" spans="1:10" x14ac:dyDescent="0.2">
      <c r="A25" s="20">
        <v>21</v>
      </c>
      <c r="B25" s="18">
        <f>IF((A25&gt;=B4),B3,0)</f>
        <v>0.02</v>
      </c>
      <c r="C25" s="35"/>
      <c r="D25" s="35"/>
      <c r="E25" s="35"/>
      <c r="F25" s="35"/>
      <c r="G25" s="35"/>
      <c r="H25" s="13">
        <f>SUM(C25:G25)</f>
        <v>0</v>
      </c>
      <c r="I25" s="14">
        <f>H25*B25</f>
        <v>0</v>
      </c>
      <c r="J25" s="14">
        <f t="shared" si="0"/>
        <v>0</v>
      </c>
    </row>
    <row r="26" spans="1:10" x14ac:dyDescent="0.2">
      <c r="A26" s="20">
        <v>22</v>
      </c>
      <c r="B26" s="18">
        <f>IF((A26&gt;=B4),B3,0)</f>
        <v>0.02</v>
      </c>
      <c r="C26" s="35"/>
      <c r="D26" s="35"/>
      <c r="E26" s="35"/>
      <c r="F26" s="35"/>
      <c r="G26" s="35"/>
      <c r="H26" s="13">
        <f>SUM(C26:G26)</f>
        <v>0</v>
      </c>
      <c r="I26" s="14">
        <f>H26*B26</f>
        <v>0</v>
      </c>
      <c r="J26" s="14">
        <f t="shared" si="0"/>
        <v>0</v>
      </c>
    </row>
    <row r="27" spans="1:10" x14ac:dyDescent="0.2">
      <c r="A27" s="20">
        <v>23</v>
      </c>
      <c r="B27" s="18">
        <f t="shared" ref="B27" si="1">IF((A27&gt;=B19),B18,0)</f>
        <v>0.02</v>
      </c>
      <c r="C27" s="35"/>
      <c r="D27" s="35"/>
      <c r="E27" s="35"/>
      <c r="F27" s="35"/>
      <c r="G27" s="35"/>
      <c r="H27" s="13">
        <f>SUM(C27:G27)</f>
        <v>0</v>
      </c>
      <c r="I27" s="14">
        <f>H27*B27</f>
        <v>0</v>
      </c>
      <c r="J27" s="14">
        <f t="shared" si="0"/>
        <v>0</v>
      </c>
    </row>
    <row r="28" spans="1:10" x14ac:dyDescent="0.2">
      <c r="A28" s="20">
        <v>24</v>
      </c>
      <c r="B28" s="18">
        <f>IF((A28&gt;=B4),B3,0)</f>
        <v>0.02</v>
      </c>
      <c r="C28" s="35"/>
      <c r="D28" s="35"/>
      <c r="E28" s="35"/>
      <c r="F28" s="35"/>
      <c r="G28" s="35"/>
      <c r="H28" s="13">
        <f>SUM(C28:G28)</f>
        <v>0</v>
      </c>
      <c r="I28" s="14">
        <f>H28*B28</f>
        <v>0</v>
      </c>
      <c r="J28" s="14">
        <f t="shared" si="0"/>
        <v>0</v>
      </c>
    </row>
    <row r="29" spans="1:10" x14ac:dyDescent="0.2">
      <c r="A29" s="20">
        <v>25</v>
      </c>
      <c r="B29" s="18">
        <f>IF((A29&gt;=B4),B3,0)</f>
        <v>0.02</v>
      </c>
      <c r="C29" s="35"/>
      <c r="D29" s="35"/>
      <c r="E29" s="35"/>
      <c r="F29" s="35"/>
      <c r="G29" s="35"/>
      <c r="H29" s="13">
        <f>SUM(C29:G29)</f>
        <v>0</v>
      </c>
      <c r="I29" s="14">
        <f>H29*B29</f>
        <v>0</v>
      </c>
      <c r="J29" s="14">
        <f t="shared" si="0"/>
        <v>0</v>
      </c>
    </row>
    <row r="30" spans="1:10" x14ac:dyDescent="0.2">
      <c r="A30" s="20">
        <v>26</v>
      </c>
      <c r="B30" s="18">
        <f>IF((A30&gt;=B4),B3,0)</f>
        <v>0.02</v>
      </c>
      <c r="C30" s="35"/>
      <c r="D30" s="35"/>
      <c r="E30" s="35"/>
      <c r="F30" s="35"/>
      <c r="G30" s="35"/>
      <c r="H30" s="13">
        <f>SUM(C30:G30)</f>
        <v>0</v>
      </c>
      <c r="I30" s="14">
        <f>H30*B30</f>
        <v>0</v>
      </c>
      <c r="J30" s="14">
        <f t="shared" si="0"/>
        <v>0</v>
      </c>
    </row>
    <row r="31" spans="1:10" x14ac:dyDescent="0.2">
      <c r="A31" s="20">
        <v>27</v>
      </c>
      <c r="B31" s="18">
        <f>IF((A31&gt;=B4),B3,0)</f>
        <v>0.02</v>
      </c>
      <c r="C31" s="35"/>
      <c r="D31" s="35"/>
      <c r="E31" s="35"/>
      <c r="F31" s="35"/>
      <c r="G31" s="35"/>
      <c r="H31" s="13">
        <f>SUM(C31:G31)</f>
        <v>0</v>
      </c>
      <c r="I31" s="14">
        <f>H31*B31</f>
        <v>0</v>
      </c>
      <c r="J31" s="14">
        <f t="shared" si="0"/>
        <v>0</v>
      </c>
    </row>
    <row r="32" spans="1:10" x14ac:dyDescent="0.2">
      <c r="A32" s="20">
        <v>28</v>
      </c>
      <c r="B32" s="18">
        <f>IF((A32&gt;=B4),B3,0)</f>
        <v>0.02</v>
      </c>
      <c r="C32" s="35"/>
      <c r="D32" s="35"/>
      <c r="E32" s="35"/>
      <c r="F32" s="35"/>
      <c r="G32" s="35"/>
      <c r="H32" s="13">
        <f>SUM(C32:G32)</f>
        <v>0</v>
      </c>
      <c r="I32" s="14">
        <f>H32*B32</f>
        <v>0</v>
      </c>
      <c r="J32" s="14">
        <f t="shared" si="0"/>
        <v>0</v>
      </c>
    </row>
    <row r="33" spans="1:10" x14ac:dyDescent="0.2">
      <c r="A33" s="20">
        <v>29</v>
      </c>
      <c r="B33" s="18">
        <f>IF((A33&gt;=B4),B3,0)</f>
        <v>0.02</v>
      </c>
      <c r="C33" s="35"/>
      <c r="D33" s="35"/>
      <c r="E33" s="35"/>
      <c r="F33" s="35"/>
      <c r="G33" s="35"/>
      <c r="H33" s="13">
        <f>SUM(C33:G33)</f>
        <v>0</v>
      </c>
      <c r="I33" s="14">
        <f>H33*B33</f>
        <v>0</v>
      </c>
      <c r="J33" s="14">
        <f t="shared" si="0"/>
        <v>0</v>
      </c>
    </row>
    <row r="34" spans="1:10" x14ac:dyDescent="0.2">
      <c r="A34" s="20">
        <v>30</v>
      </c>
      <c r="B34" s="18">
        <f>IF((A34&gt;=B4),B3,0)</f>
        <v>0.02</v>
      </c>
      <c r="C34" s="35"/>
      <c r="D34" s="35"/>
      <c r="E34" s="35"/>
      <c r="F34" s="35"/>
      <c r="G34" s="35"/>
      <c r="H34" s="13">
        <f>SUM(C34:G34)</f>
        <v>0</v>
      </c>
      <c r="I34" s="14">
        <f>H34*B34</f>
        <v>0</v>
      </c>
      <c r="J34" s="14">
        <f t="shared" si="0"/>
        <v>0</v>
      </c>
    </row>
    <row r="35" spans="1:10" x14ac:dyDescent="0.2">
      <c r="C35" s="14"/>
      <c r="D35" s="14"/>
      <c r="E35" s="14"/>
      <c r="F35" s="14"/>
      <c r="G35" s="14"/>
      <c r="H35" s="14"/>
      <c r="I35" s="14"/>
      <c r="J35" s="14"/>
    </row>
    <row r="36" spans="1:10" ht="30" customHeight="1" x14ac:dyDescent="0.2">
      <c r="A36" s="30" t="s">
        <v>82</v>
      </c>
      <c r="B36" s="30"/>
      <c r="C36" s="14"/>
      <c r="D36" s="14"/>
      <c r="E36" s="14"/>
      <c r="F36" s="14"/>
      <c r="G36" s="14"/>
      <c r="H36" s="34">
        <f>SUM(H5:H34)</f>
        <v>825</v>
      </c>
      <c r="I36" s="34">
        <f t="shared" ref="I36:J36" si="2">SUM(I5:I34)</f>
        <v>16.5</v>
      </c>
      <c r="J36" s="34">
        <f t="shared" si="2"/>
        <v>841.5</v>
      </c>
    </row>
    <row r="37" spans="1:10" x14ac:dyDescent="0.2">
      <c r="C37" s="14"/>
      <c r="D37" s="14"/>
      <c r="E37" s="14"/>
      <c r="F37" s="14"/>
      <c r="G37" s="14"/>
      <c r="H37" s="14"/>
      <c r="I37" s="14"/>
      <c r="J37" s="14"/>
    </row>
  </sheetData>
  <mergeCells count="1">
    <mergeCell ref="A36:B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FDE5-10B3-EE45-BDE0-469CBD719A0E}">
  <dimension ref="A2:F37"/>
  <sheetViews>
    <sheetView topLeftCell="A11" zoomScale="160" zoomScaleNormal="160" workbookViewId="0">
      <selection activeCell="C2" sqref="C2"/>
    </sheetView>
  </sheetViews>
  <sheetFormatPr baseColWidth="10" defaultRowHeight="13" x14ac:dyDescent="0.2"/>
  <cols>
    <col min="1" max="1" width="7.33203125" style="20" customWidth="1"/>
    <col min="2" max="2" width="7.33203125" style="12" customWidth="1"/>
    <col min="3" max="3" width="13" style="12" customWidth="1"/>
    <col min="4" max="5" width="12.6640625" style="12" customWidth="1"/>
    <col min="6" max="6" width="11.5" style="12" customWidth="1"/>
    <col min="7" max="16384" width="10.83203125" style="12"/>
  </cols>
  <sheetData>
    <row r="2" spans="1:6" ht="75" customHeight="1" x14ac:dyDescent="0.2">
      <c r="B2" s="13" t="s">
        <v>51</v>
      </c>
      <c r="C2" s="33" t="s">
        <v>81</v>
      </c>
      <c r="D2" s="13" t="s">
        <v>79</v>
      </c>
      <c r="E2" s="13" t="s">
        <v>69</v>
      </c>
      <c r="F2" s="13" t="s">
        <v>80</v>
      </c>
    </row>
    <row r="3" spans="1:6" ht="15" customHeight="1" x14ac:dyDescent="0.2">
      <c r="B3" s="19">
        <v>0.02</v>
      </c>
      <c r="C3" s="13"/>
      <c r="D3" s="13"/>
      <c r="E3" s="13"/>
      <c r="F3" s="13"/>
    </row>
    <row r="4" spans="1:6" ht="15" customHeight="1" x14ac:dyDescent="0.2">
      <c r="A4" s="20" t="s">
        <v>55</v>
      </c>
      <c r="B4" s="21">
        <v>5</v>
      </c>
      <c r="C4" s="13"/>
      <c r="D4" s="13"/>
      <c r="E4" s="13"/>
      <c r="F4" s="13"/>
    </row>
    <row r="5" spans="1:6" x14ac:dyDescent="0.2">
      <c r="A5" s="20">
        <v>1</v>
      </c>
      <c r="B5" s="18">
        <f>IF((A5&gt;=B4),B3,0)</f>
        <v>0</v>
      </c>
      <c r="C5" s="35"/>
      <c r="D5" s="39">
        <f>SUM(C5:C5)</f>
        <v>0</v>
      </c>
      <c r="E5" s="14">
        <f>D5*B5</f>
        <v>0</v>
      </c>
      <c r="F5" s="14">
        <f>D5+E5</f>
        <v>0</v>
      </c>
    </row>
    <row r="6" spans="1:6" x14ac:dyDescent="0.2">
      <c r="A6" s="20">
        <v>2</v>
      </c>
      <c r="B6" s="18">
        <f>IF((A6&gt;=B4),B3,0)</f>
        <v>0</v>
      </c>
      <c r="C6" s="35"/>
      <c r="D6" s="13">
        <f>SUM(C6:C6)</f>
        <v>0</v>
      </c>
      <c r="E6" s="14">
        <f>D6*B6</f>
        <v>0</v>
      </c>
      <c r="F6" s="14">
        <f t="shared" ref="F6:F34" si="0">D6+E6</f>
        <v>0</v>
      </c>
    </row>
    <row r="7" spans="1:6" x14ac:dyDescent="0.2">
      <c r="A7" s="20">
        <v>3</v>
      </c>
      <c r="B7" s="18">
        <f>IF((A7&gt;=B4),B3,0)</f>
        <v>0</v>
      </c>
      <c r="C7" s="35"/>
      <c r="D7" s="13">
        <f>SUM(C7:C7)</f>
        <v>0</v>
      </c>
      <c r="E7" s="14">
        <f>D7*B7</f>
        <v>0</v>
      </c>
      <c r="F7" s="14">
        <f t="shared" si="0"/>
        <v>0</v>
      </c>
    </row>
    <row r="8" spans="1:6" x14ac:dyDescent="0.2">
      <c r="A8" s="20">
        <v>4</v>
      </c>
      <c r="B8" s="18">
        <f>IF((A8&gt;=B4),B3,0)</f>
        <v>0</v>
      </c>
      <c r="C8" s="35"/>
      <c r="D8" s="13">
        <f>SUM(C8:C8)</f>
        <v>0</v>
      </c>
      <c r="E8" s="14">
        <f>D8*B8</f>
        <v>0</v>
      </c>
      <c r="F8" s="14">
        <f t="shared" si="0"/>
        <v>0</v>
      </c>
    </row>
    <row r="9" spans="1:6" x14ac:dyDescent="0.2">
      <c r="A9" s="20">
        <v>5</v>
      </c>
      <c r="B9" s="18">
        <f>IF((A9&gt;=B4),B3,0)</f>
        <v>0.02</v>
      </c>
      <c r="C9" s="35"/>
      <c r="D9" s="13">
        <f>SUM(C9:C9)</f>
        <v>0</v>
      </c>
      <c r="E9" s="14">
        <f>D9*B9</f>
        <v>0</v>
      </c>
      <c r="F9" s="14">
        <f t="shared" si="0"/>
        <v>0</v>
      </c>
    </row>
    <row r="10" spans="1:6" x14ac:dyDescent="0.2">
      <c r="A10" s="20">
        <v>6</v>
      </c>
      <c r="B10" s="18">
        <f>IF((A10&gt;=B4),B3,0)</f>
        <v>0.02</v>
      </c>
      <c r="C10" s="35"/>
      <c r="D10" s="13">
        <f>SUM(C10:C10)</f>
        <v>0</v>
      </c>
      <c r="E10" s="14">
        <f>D10*B10</f>
        <v>0</v>
      </c>
      <c r="F10" s="14">
        <f t="shared" si="0"/>
        <v>0</v>
      </c>
    </row>
    <row r="11" spans="1:6" x14ac:dyDescent="0.2">
      <c r="A11" s="20">
        <v>7</v>
      </c>
      <c r="B11" s="18">
        <f>IF((A11&gt;=B4),B3,0)</f>
        <v>0.02</v>
      </c>
      <c r="C11" s="35"/>
      <c r="D11" s="13">
        <f>SUM(C11:C11)</f>
        <v>0</v>
      </c>
      <c r="E11" s="14">
        <f>D11*B11</f>
        <v>0</v>
      </c>
      <c r="F11" s="14">
        <f t="shared" si="0"/>
        <v>0</v>
      </c>
    </row>
    <row r="12" spans="1:6" x14ac:dyDescent="0.2">
      <c r="A12" s="20">
        <v>8</v>
      </c>
      <c r="B12" s="18">
        <f>IF((A12&gt;=B4),B3,0)</f>
        <v>0.02</v>
      </c>
      <c r="C12" s="35"/>
      <c r="D12" s="13">
        <f>SUM(C12:C12)</f>
        <v>0</v>
      </c>
      <c r="E12" s="14">
        <f>D12*B12</f>
        <v>0</v>
      </c>
      <c r="F12" s="14">
        <f t="shared" si="0"/>
        <v>0</v>
      </c>
    </row>
    <row r="13" spans="1:6" x14ac:dyDescent="0.2">
      <c r="A13" s="20">
        <v>9</v>
      </c>
      <c r="B13" s="18">
        <f>IF((A13&gt;=B4),B3,0)</f>
        <v>0.02</v>
      </c>
      <c r="C13" s="35"/>
      <c r="D13" s="13">
        <f>SUM(C13:C13)</f>
        <v>0</v>
      </c>
      <c r="E13" s="14">
        <f>D13*B13</f>
        <v>0</v>
      </c>
      <c r="F13" s="14">
        <f t="shared" si="0"/>
        <v>0</v>
      </c>
    </row>
    <row r="14" spans="1:6" x14ac:dyDescent="0.2">
      <c r="A14" s="20">
        <v>10</v>
      </c>
      <c r="B14" s="18">
        <f>IF((A14&gt;=B4),B3,0)</f>
        <v>0.02</v>
      </c>
      <c r="C14" s="35"/>
      <c r="D14" s="13">
        <f>SUM(C14:C14)</f>
        <v>0</v>
      </c>
      <c r="E14" s="14">
        <f>D14*B14</f>
        <v>0</v>
      </c>
      <c r="F14" s="14">
        <f t="shared" si="0"/>
        <v>0</v>
      </c>
    </row>
    <row r="15" spans="1:6" x14ac:dyDescent="0.2">
      <c r="A15" s="20">
        <v>11</v>
      </c>
      <c r="B15" s="18">
        <f>IF((A15&gt;=B4),B3,0)</f>
        <v>0.02</v>
      </c>
      <c r="C15" s="35"/>
      <c r="D15" s="13">
        <f>SUM(C15:C15)</f>
        <v>0</v>
      </c>
      <c r="E15" s="14">
        <f>D15*B15</f>
        <v>0</v>
      </c>
      <c r="F15" s="14">
        <f t="shared" si="0"/>
        <v>0</v>
      </c>
    </row>
    <row r="16" spans="1:6" x14ac:dyDescent="0.2">
      <c r="A16" s="20">
        <v>12</v>
      </c>
      <c r="B16" s="18">
        <f>IF((A16&gt;=B4),B3,0)</f>
        <v>0.02</v>
      </c>
      <c r="C16" s="35"/>
      <c r="D16" s="13">
        <f>SUM(C16:C16)</f>
        <v>0</v>
      </c>
      <c r="E16" s="14">
        <f>D16*B16</f>
        <v>0</v>
      </c>
      <c r="F16" s="14">
        <f t="shared" si="0"/>
        <v>0</v>
      </c>
    </row>
    <row r="17" spans="1:6" x14ac:dyDescent="0.2">
      <c r="A17" s="20">
        <v>13</v>
      </c>
      <c r="B17" s="18">
        <f>IF((A17&gt;=B4),B3,0)</f>
        <v>0.02</v>
      </c>
      <c r="C17" s="35"/>
      <c r="D17" s="13">
        <f>SUM(C17:C17)</f>
        <v>0</v>
      </c>
      <c r="E17" s="14">
        <f>D17*B17</f>
        <v>0</v>
      </c>
      <c r="F17" s="14">
        <f t="shared" si="0"/>
        <v>0</v>
      </c>
    </row>
    <row r="18" spans="1:6" x14ac:dyDescent="0.2">
      <c r="A18" s="20">
        <v>14</v>
      </c>
      <c r="B18" s="18">
        <f>IF((A18&gt;=B4),B3,0)</f>
        <v>0.02</v>
      </c>
      <c r="C18" s="35"/>
      <c r="D18" s="13">
        <f>SUM(C18:C18)</f>
        <v>0</v>
      </c>
      <c r="E18" s="14">
        <f>D18*B18</f>
        <v>0</v>
      </c>
      <c r="F18" s="14">
        <f t="shared" si="0"/>
        <v>0</v>
      </c>
    </row>
    <row r="19" spans="1:6" x14ac:dyDescent="0.2">
      <c r="A19" s="20">
        <v>15</v>
      </c>
      <c r="B19" s="18">
        <f>IF((A19&gt;=B4),B3,0)</f>
        <v>0.02</v>
      </c>
      <c r="C19" s="35"/>
      <c r="D19" s="13">
        <f>SUM(C19:C19)</f>
        <v>0</v>
      </c>
      <c r="E19" s="14">
        <f>D19*B19</f>
        <v>0</v>
      </c>
      <c r="F19" s="14">
        <f t="shared" si="0"/>
        <v>0</v>
      </c>
    </row>
    <row r="20" spans="1:6" x14ac:dyDescent="0.2">
      <c r="A20" s="20">
        <v>16</v>
      </c>
      <c r="B20" s="18">
        <f>IF((A20&gt;=B4),B3,0)</f>
        <v>0.02</v>
      </c>
      <c r="C20" s="35"/>
      <c r="D20" s="13">
        <f>SUM(C20:C20)</f>
        <v>0</v>
      </c>
      <c r="E20" s="14">
        <f>D20*B20</f>
        <v>0</v>
      </c>
      <c r="F20" s="14">
        <f t="shared" si="0"/>
        <v>0</v>
      </c>
    </row>
    <row r="21" spans="1:6" x14ac:dyDescent="0.2">
      <c r="A21" s="20">
        <v>17</v>
      </c>
      <c r="B21" s="18">
        <f>IF((A21&gt;=B4),B3,0)</f>
        <v>0.02</v>
      </c>
      <c r="C21" s="35"/>
      <c r="D21" s="13">
        <f>SUM(C21:C21)</f>
        <v>0</v>
      </c>
      <c r="E21" s="14">
        <f>D21*B21</f>
        <v>0</v>
      </c>
      <c r="F21" s="14">
        <f t="shared" si="0"/>
        <v>0</v>
      </c>
    </row>
    <row r="22" spans="1:6" x14ac:dyDescent="0.2">
      <c r="A22" s="20">
        <v>18</v>
      </c>
      <c r="B22" s="18">
        <f>IF((A22&gt;=B4),B3,0)</f>
        <v>0.02</v>
      </c>
      <c r="C22" s="35"/>
      <c r="D22" s="13">
        <f>SUM(C22:C22)</f>
        <v>0</v>
      </c>
      <c r="E22" s="14">
        <f>D22*B22</f>
        <v>0</v>
      </c>
      <c r="F22" s="14">
        <f t="shared" si="0"/>
        <v>0</v>
      </c>
    </row>
    <row r="23" spans="1:6" x14ac:dyDescent="0.2">
      <c r="A23" s="20">
        <v>19</v>
      </c>
      <c r="B23" s="18">
        <f>IF((A23&gt;=B4),B3,0)</f>
        <v>0.02</v>
      </c>
      <c r="C23" s="35"/>
      <c r="D23" s="13">
        <f>SUM(C23:C23)</f>
        <v>0</v>
      </c>
      <c r="E23" s="14">
        <f>D23*B23</f>
        <v>0</v>
      </c>
      <c r="F23" s="14">
        <f t="shared" si="0"/>
        <v>0</v>
      </c>
    </row>
    <row r="24" spans="1:6" x14ac:dyDescent="0.2">
      <c r="A24" s="20">
        <v>20</v>
      </c>
      <c r="B24" s="18">
        <f>IF((A24&gt;=B4),B3,0)</f>
        <v>0.02</v>
      </c>
      <c r="C24" s="35"/>
      <c r="D24" s="13">
        <f>SUM(C24:C24)</f>
        <v>0</v>
      </c>
      <c r="E24" s="14">
        <f>D24*B24</f>
        <v>0</v>
      </c>
      <c r="F24" s="14">
        <f t="shared" si="0"/>
        <v>0</v>
      </c>
    </row>
    <row r="25" spans="1:6" x14ac:dyDescent="0.2">
      <c r="A25" s="20">
        <v>21</v>
      </c>
      <c r="B25" s="18">
        <f>IF((A25&gt;=B4),B3,0)</f>
        <v>0.02</v>
      </c>
      <c r="C25" s="35"/>
      <c r="D25" s="13">
        <f>SUM(C25:C25)</f>
        <v>0</v>
      </c>
      <c r="E25" s="14">
        <f>D25*B25</f>
        <v>0</v>
      </c>
      <c r="F25" s="14">
        <f t="shared" si="0"/>
        <v>0</v>
      </c>
    </row>
    <row r="26" spans="1:6" x14ac:dyDescent="0.2">
      <c r="A26" s="20">
        <v>22</v>
      </c>
      <c r="B26" s="18">
        <f>IF((A26&gt;=B4),B3,0)</f>
        <v>0.02</v>
      </c>
      <c r="C26" s="35"/>
      <c r="D26" s="13">
        <f>SUM(C26:C26)</f>
        <v>0</v>
      </c>
      <c r="E26" s="14">
        <f>D26*B26</f>
        <v>0</v>
      </c>
      <c r="F26" s="14">
        <f t="shared" si="0"/>
        <v>0</v>
      </c>
    </row>
    <row r="27" spans="1:6" x14ac:dyDescent="0.2">
      <c r="A27" s="20">
        <v>23</v>
      </c>
      <c r="B27" s="18">
        <f t="shared" ref="B27" si="1">IF((A27&gt;=B19),B18,0)</f>
        <v>0.02</v>
      </c>
      <c r="C27" s="35"/>
      <c r="D27" s="13">
        <f>SUM(C27:C27)</f>
        <v>0</v>
      </c>
      <c r="E27" s="14">
        <f>D27*B27</f>
        <v>0</v>
      </c>
      <c r="F27" s="14">
        <f t="shared" si="0"/>
        <v>0</v>
      </c>
    </row>
    <row r="28" spans="1:6" x14ac:dyDescent="0.2">
      <c r="A28" s="20">
        <v>24</v>
      </c>
      <c r="B28" s="18">
        <f>IF((A28&gt;=B4),B3,0)</f>
        <v>0.02</v>
      </c>
      <c r="C28" s="35"/>
      <c r="D28" s="13">
        <f>SUM(C28:C28)</f>
        <v>0</v>
      </c>
      <c r="E28" s="14">
        <f>D28*B28</f>
        <v>0</v>
      </c>
      <c r="F28" s="14">
        <f t="shared" si="0"/>
        <v>0</v>
      </c>
    </row>
    <row r="29" spans="1:6" x14ac:dyDescent="0.2">
      <c r="A29" s="20">
        <v>25</v>
      </c>
      <c r="B29" s="18">
        <f>IF((A29&gt;=B4),B3,0)</f>
        <v>0.02</v>
      </c>
      <c r="C29" s="35"/>
      <c r="D29" s="13">
        <f>SUM(C29:C29)</f>
        <v>0</v>
      </c>
      <c r="E29" s="14">
        <f>D29*B29</f>
        <v>0</v>
      </c>
      <c r="F29" s="14">
        <f t="shared" si="0"/>
        <v>0</v>
      </c>
    </row>
    <row r="30" spans="1:6" x14ac:dyDescent="0.2">
      <c r="A30" s="20">
        <v>26</v>
      </c>
      <c r="B30" s="18">
        <f>IF((A30&gt;=B4),B3,0)</f>
        <v>0.02</v>
      </c>
      <c r="C30" s="35"/>
      <c r="D30" s="13">
        <f>SUM(C30:C30)</f>
        <v>0</v>
      </c>
      <c r="E30" s="14">
        <f>D30*B30</f>
        <v>0</v>
      </c>
      <c r="F30" s="14">
        <f t="shared" si="0"/>
        <v>0</v>
      </c>
    </row>
    <row r="31" spans="1:6" x14ac:dyDescent="0.2">
      <c r="A31" s="20">
        <v>27</v>
      </c>
      <c r="B31" s="18">
        <f>IF((A31&gt;=B4),B3,0)</f>
        <v>0.02</v>
      </c>
      <c r="C31" s="35"/>
      <c r="D31" s="13">
        <f>SUM(C31:C31)</f>
        <v>0</v>
      </c>
      <c r="E31" s="14">
        <f>D31*B31</f>
        <v>0</v>
      </c>
      <c r="F31" s="14">
        <f t="shared" si="0"/>
        <v>0</v>
      </c>
    </row>
    <row r="32" spans="1:6" x14ac:dyDescent="0.2">
      <c r="A32" s="20">
        <v>28</v>
      </c>
      <c r="B32" s="18">
        <f>IF((A32&gt;=B4),B3,0)</f>
        <v>0.02</v>
      </c>
      <c r="C32" s="35"/>
      <c r="D32" s="13">
        <f>SUM(C32:C32)</f>
        <v>0</v>
      </c>
      <c r="E32" s="14">
        <f>D32*B32</f>
        <v>0</v>
      </c>
      <c r="F32" s="14">
        <f t="shared" si="0"/>
        <v>0</v>
      </c>
    </row>
    <row r="33" spans="1:6" x14ac:dyDescent="0.2">
      <c r="A33" s="20">
        <v>29</v>
      </c>
      <c r="B33" s="18">
        <f>IF((A33&gt;=B4),B3,0)</f>
        <v>0.02</v>
      </c>
      <c r="C33" s="35"/>
      <c r="D33" s="13">
        <f>SUM(C33:C33)</f>
        <v>0</v>
      </c>
      <c r="E33" s="14">
        <f>D33*B33</f>
        <v>0</v>
      </c>
      <c r="F33" s="14">
        <f t="shared" si="0"/>
        <v>0</v>
      </c>
    </row>
    <row r="34" spans="1:6" x14ac:dyDescent="0.2">
      <c r="A34" s="20">
        <v>30</v>
      </c>
      <c r="B34" s="18">
        <f>IF((A34&gt;=B4),B3,0)</f>
        <v>0.02</v>
      </c>
      <c r="C34" s="35"/>
      <c r="D34" s="13">
        <f>SUM(C34:C34)</f>
        <v>0</v>
      </c>
      <c r="E34" s="14">
        <f>D34*B34</f>
        <v>0</v>
      </c>
      <c r="F34" s="14">
        <f t="shared" si="0"/>
        <v>0</v>
      </c>
    </row>
    <row r="35" spans="1:6" x14ac:dyDescent="0.2">
      <c r="C35" s="14"/>
      <c r="D35" s="14"/>
      <c r="E35" s="14"/>
      <c r="F35" s="14"/>
    </row>
    <row r="36" spans="1:6" ht="30" customHeight="1" x14ac:dyDescent="0.2">
      <c r="A36" s="30" t="s">
        <v>83</v>
      </c>
      <c r="B36" s="30"/>
      <c r="C36" s="14"/>
      <c r="D36" s="34">
        <f>SUM(D5:D34)</f>
        <v>0</v>
      </c>
      <c r="E36" s="34">
        <f t="shared" ref="E36:F36" si="2">SUM(E5:E34)</f>
        <v>0</v>
      </c>
      <c r="F36" s="34">
        <f t="shared" si="2"/>
        <v>0</v>
      </c>
    </row>
    <row r="37" spans="1:6" x14ac:dyDescent="0.2">
      <c r="C37" s="14"/>
      <c r="D37" s="14"/>
      <c r="E37" s="14"/>
      <c r="F37" s="14"/>
    </row>
  </sheetData>
  <mergeCells count="1"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 production</vt:lpstr>
      <vt:lpstr>Details Capex</vt:lpstr>
      <vt:lpstr>Details Opex</vt:lpstr>
      <vt:lpstr>Details Abex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Oufom MEDOU</dc:creator>
  <cp:lastModifiedBy>Joseph Oufom MEDOU</cp:lastModifiedBy>
  <dcterms:created xsi:type="dcterms:W3CDTF">2026-04-08T12:18:29Z</dcterms:created>
  <dcterms:modified xsi:type="dcterms:W3CDTF">2026-04-08T16:04:48Z</dcterms:modified>
</cp:coreProperties>
</file>